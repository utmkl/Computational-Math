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Document\UTM\Notes\SEM8\Computational Math\"/>
    </mc:Choice>
  </mc:AlternateContent>
  <xr:revisionPtr revIDLastSave="0" documentId="13_ncr:1_{E49257B7-3F27-47AD-B671-8D4EA0FA3E1B}" xr6:coauthVersionLast="47" xr6:coauthVersionMax="47" xr10:uidLastSave="{00000000-0000-0000-0000-000000000000}"/>
  <bookViews>
    <workbookView xWindow="-108" yWindow="-108" windowWidth="23256" windowHeight="12720" activeTab="2" xr2:uid="{A27A18F2-58C8-47B7-9155-179F60F3E74B}"/>
  </bookViews>
  <sheets>
    <sheet name="CH 6 - Bi Section Method" sheetId="1" r:id="rId1"/>
    <sheet name="CH 6 - False Position Method" sheetId="3" r:id="rId2"/>
    <sheet name="CH 6 - Secant Method" sheetId="4" r:id="rId3"/>
    <sheet name="CH 6 - Newton Method" sheetId="6" r:id="rId4"/>
    <sheet name="CH 7 - Power Method" sheetId="8" r:id="rId5"/>
    <sheet name="CH 7 - Shifted Power Method" sheetId="10" r:id="rId6"/>
    <sheet name="CH 8 - Newton Backward" sheetId="11" r:id="rId7"/>
    <sheet name="CH 8 - Newton Forward" sheetId="12" r:id="rId8"/>
    <sheet name="CH 8 - Newton Divided" sheetId="13" r:id="rId9"/>
    <sheet name="CH 8 - Lagrange" sheetId="14" r:id="rId10"/>
    <sheet name="CH 8 - Least Square" sheetId="15" r:id="rId11"/>
    <sheet name="CH 9 - Integration - Trapezoid" sheetId="18" r:id="rId12"/>
    <sheet name="CH9 Integration - Simpson 1per3" sheetId="19" r:id="rId13"/>
    <sheet name="CH9 Integration - Simpson 3per8" sheetId="20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20" l="1"/>
  <c r="D12" i="20"/>
  <c r="E11" i="20"/>
  <c r="E10" i="20"/>
  <c r="F9" i="20"/>
  <c r="F14" i="20" s="1"/>
  <c r="E8" i="20"/>
  <c r="E7" i="20"/>
  <c r="D6" i="20"/>
  <c r="D14" i="20" s="1"/>
  <c r="E14" i="19"/>
  <c r="D12" i="19"/>
  <c r="E11" i="19"/>
  <c r="F10" i="19"/>
  <c r="E9" i="19"/>
  <c r="F8" i="19"/>
  <c r="F14" i="19" s="1"/>
  <c r="E7" i="19"/>
  <c r="D6" i="19"/>
  <c r="E13" i="18"/>
  <c r="F12" i="18"/>
  <c r="F11" i="18"/>
  <c r="E7" i="18"/>
  <c r="E15" i="18" s="1"/>
  <c r="D5" i="18"/>
  <c r="D8" i="18" s="1"/>
  <c r="D9" i="18" s="1"/>
  <c r="H6" i="20" l="1"/>
  <c r="D14" i="19"/>
  <c r="H5" i="19" s="1"/>
  <c r="D10" i="18"/>
  <c r="F10" i="18" s="1"/>
  <c r="F9" i="18"/>
  <c r="F8" i="18"/>
  <c r="F15" i="18" s="1"/>
  <c r="H6" i="18" s="1"/>
  <c r="I10" i="15" l="1"/>
  <c r="H10" i="15"/>
  <c r="G10" i="15"/>
  <c r="K10" i="15" s="1"/>
  <c r="F10" i="15"/>
  <c r="J10" i="15" s="1"/>
  <c r="I9" i="15"/>
  <c r="H9" i="15"/>
  <c r="G9" i="15"/>
  <c r="K9" i="15" s="1"/>
  <c r="F9" i="15"/>
  <c r="J9" i="15" s="1"/>
  <c r="K8" i="15"/>
  <c r="J8" i="15"/>
  <c r="I8" i="15"/>
  <c r="H8" i="15"/>
  <c r="G8" i="15"/>
  <c r="F8" i="15"/>
  <c r="I7" i="15"/>
  <c r="K7" i="15" s="1"/>
  <c r="H7" i="15"/>
  <c r="G7" i="15"/>
  <c r="F7" i="15"/>
  <c r="I6" i="15"/>
  <c r="H6" i="15"/>
  <c r="H11" i="15" s="1"/>
  <c r="D16" i="15" s="1"/>
  <c r="G6" i="15"/>
  <c r="G11" i="15" s="1"/>
  <c r="F6" i="15"/>
  <c r="F11" i="15" s="1"/>
  <c r="C15" i="15" s="1"/>
  <c r="J10" i="14"/>
  <c r="I10" i="14"/>
  <c r="H10" i="14"/>
  <c r="G10" i="14"/>
  <c r="F10" i="14"/>
  <c r="E10" i="14"/>
  <c r="J9" i="14"/>
  <c r="I9" i="14"/>
  <c r="H9" i="14"/>
  <c r="G9" i="14"/>
  <c r="F9" i="14"/>
  <c r="E9" i="14"/>
  <c r="G13" i="14" s="1"/>
  <c r="J8" i="14"/>
  <c r="I8" i="14"/>
  <c r="H8" i="14"/>
  <c r="G8" i="14"/>
  <c r="F8" i="14"/>
  <c r="E8" i="14"/>
  <c r="J7" i="14"/>
  <c r="I7" i="14"/>
  <c r="H7" i="14"/>
  <c r="G7" i="14"/>
  <c r="F7" i="14"/>
  <c r="E7" i="14"/>
  <c r="J13" i="14" s="1"/>
  <c r="J6" i="14"/>
  <c r="I6" i="14"/>
  <c r="H6" i="14"/>
  <c r="G6" i="14"/>
  <c r="F6" i="14"/>
  <c r="E6" i="14"/>
  <c r="J5" i="14"/>
  <c r="I5" i="14"/>
  <c r="H5" i="14"/>
  <c r="G5" i="14"/>
  <c r="F5" i="14"/>
  <c r="C24" i="13"/>
  <c r="B24" i="13"/>
  <c r="D24" i="13" s="1"/>
  <c r="A24" i="13"/>
  <c r="C23" i="13"/>
  <c r="B23" i="13"/>
  <c r="D23" i="13" s="1"/>
  <c r="E23" i="13" s="1"/>
  <c r="A23" i="13"/>
  <c r="D22" i="13"/>
  <c r="E22" i="13" s="1"/>
  <c r="C22" i="13"/>
  <c r="B22" i="13"/>
  <c r="A22" i="13"/>
  <c r="D21" i="13"/>
  <c r="E21" i="13" s="1"/>
  <c r="C21" i="13"/>
  <c r="B21" i="13"/>
  <c r="A21" i="13"/>
  <c r="F20" i="13"/>
  <c r="D20" i="13"/>
  <c r="E20" i="13" s="1"/>
  <c r="C20" i="13"/>
  <c r="B20" i="13"/>
  <c r="A20" i="13"/>
  <c r="D10" i="13"/>
  <c r="D9" i="13"/>
  <c r="E9" i="13" s="1"/>
  <c r="D8" i="13"/>
  <c r="E7" i="13" s="1"/>
  <c r="F21" i="13" s="1"/>
  <c r="G21" i="13" s="1"/>
  <c r="D7" i="13"/>
  <c r="E26" i="12"/>
  <c r="B26" i="12"/>
  <c r="E25" i="12"/>
  <c r="E24" i="12"/>
  <c r="B24" i="12"/>
  <c r="E23" i="12"/>
  <c r="B23" i="12"/>
  <c r="E22" i="12"/>
  <c r="C17" i="12"/>
  <c r="B27" i="12" s="1"/>
  <c r="D14" i="12"/>
  <c r="D10" i="12"/>
  <c r="D9" i="12"/>
  <c r="E8" i="12" s="1"/>
  <c r="D8" i="12"/>
  <c r="D7" i="12"/>
  <c r="E7" i="12" s="1"/>
  <c r="D6" i="12"/>
  <c r="D22" i="12" s="1"/>
  <c r="D26" i="11"/>
  <c r="D25" i="11"/>
  <c r="D24" i="11"/>
  <c r="D23" i="11"/>
  <c r="D22" i="11"/>
  <c r="D14" i="11"/>
  <c r="C17" i="11" s="1"/>
  <c r="D11" i="11"/>
  <c r="E22" i="11" s="1"/>
  <c r="D10" i="11"/>
  <c r="E10" i="11" s="1"/>
  <c r="F10" i="11" s="1"/>
  <c r="D9" i="11"/>
  <c r="E9" i="11" s="1"/>
  <c r="D8" i="11"/>
  <c r="E8" i="11" s="1"/>
  <c r="D7" i="11"/>
  <c r="K7" i="10"/>
  <c r="C13" i="10" s="1"/>
  <c r="L7" i="10"/>
  <c r="D13" i="10" s="1"/>
  <c r="K6" i="10"/>
  <c r="C12" i="10" s="1"/>
  <c r="L6" i="10"/>
  <c r="D12" i="10" s="1"/>
  <c r="J7" i="10"/>
  <c r="B13" i="10" s="1"/>
  <c r="J6" i="10"/>
  <c r="B12" i="10" s="1"/>
  <c r="K5" i="10"/>
  <c r="C11" i="10" s="1"/>
  <c r="L5" i="10"/>
  <c r="D11" i="10" s="1"/>
  <c r="J5" i="10"/>
  <c r="B11" i="10" s="1"/>
  <c r="G12" i="8"/>
  <c r="H14" i="8"/>
  <c r="H15" i="8"/>
  <c r="H16" i="8"/>
  <c r="D17" i="8" s="1"/>
  <c r="H17" i="8"/>
  <c r="H18" i="8"/>
  <c r="H19" i="8"/>
  <c r="H20" i="8"/>
  <c r="D21" i="8" s="1"/>
  <c r="H21" i="8"/>
  <c r="F12" i="8"/>
  <c r="E12" i="8"/>
  <c r="H6" i="8"/>
  <c r="H5" i="8"/>
  <c r="H4" i="8"/>
  <c r="C16" i="15" l="1"/>
  <c r="D15" i="15"/>
  <c r="C21" i="15" s="1" a="1"/>
  <c r="J7" i="15"/>
  <c r="J6" i="15"/>
  <c r="J11" i="15" s="1"/>
  <c r="J15" i="15" s="1"/>
  <c r="K6" i="15"/>
  <c r="K11" i="15" s="1"/>
  <c r="J16" i="15" s="1"/>
  <c r="F13" i="14"/>
  <c r="H13" i="14"/>
  <c r="I13" i="14"/>
  <c r="E24" i="13"/>
  <c r="G20" i="13"/>
  <c r="E8" i="13"/>
  <c r="F7" i="13" s="1"/>
  <c r="F22" i="13" s="1"/>
  <c r="G22" i="13" s="1"/>
  <c r="F7" i="12"/>
  <c r="C27" i="12"/>
  <c r="E9" i="12"/>
  <c r="F8" i="12" s="1"/>
  <c r="G7" i="12" s="1"/>
  <c r="E6" i="12"/>
  <c r="D23" i="12" s="1"/>
  <c r="B22" i="12"/>
  <c r="C22" i="12" s="1"/>
  <c r="F22" i="12" s="1"/>
  <c r="B25" i="12"/>
  <c r="B24" i="11"/>
  <c r="B22" i="11"/>
  <c r="C22" i="11" s="1"/>
  <c r="F22" i="11" s="1"/>
  <c r="B23" i="11"/>
  <c r="B27" i="11"/>
  <c r="B25" i="11"/>
  <c r="C25" i="11" s="1"/>
  <c r="B26" i="11"/>
  <c r="C26" i="11" s="1"/>
  <c r="F9" i="11"/>
  <c r="G10" i="11" s="1"/>
  <c r="E11" i="11"/>
  <c r="H12" i="10"/>
  <c r="F19" i="10"/>
  <c r="H13" i="10"/>
  <c r="G19" i="10"/>
  <c r="E19" i="10"/>
  <c r="H19" i="10" s="1"/>
  <c r="C20" i="10" s="1"/>
  <c r="H11" i="10"/>
  <c r="H12" i="8"/>
  <c r="B13" i="8" s="1"/>
  <c r="D16" i="8"/>
  <c r="C16" i="8"/>
  <c r="D20" i="8"/>
  <c r="C20" i="8"/>
  <c r="B19" i="8"/>
  <c r="I17" i="8"/>
  <c r="D19" i="8"/>
  <c r="C19" i="8"/>
  <c r="D18" i="8"/>
  <c r="B18" i="8"/>
  <c r="C18" i="8"/>
  <c r="D15" i="8"/>
  <c r="C15" i="8"/>
  <c r="B15" i="8"/>
  <c r="C13" i="8"/>
  <c r="D13" i="8"/>
  <c r="I20" i="8"/>
  <c r="I19" i="8"/>
  <c r="B21" i="8"/>
  <c r="B17" i="8"/>
  <c r="C17" i="8"/>
  <c r="C21" i="8"/>
  <c r="I16" i="8"/>
  <c r="I15" i="8"/>
  <c r="I14" i="8"/>
  <c r="B16" i="8"/>
  <c r="I18" i="8"/>
  <c r="B20" i="8"/>
  <c r="C22" i="15" l="1"/>
  <c r="C21" i="15"/>
  <c r="C15" i="14"/>
  <c r="K13" i="14"/>
  <c r="F8" i="13"/>
  <c r="G7" i="13" s="1"/>
  <c r="F23" i="13" s="1"/>
  <c r="G23" i="13" s="1"/>
  <c r="H20" i="13" s="1"/>
  <c r="F6" i="12"/>
  <c r="D24" i="12" s="1"/>
  <c r="C26" i="12"/>
  <c r="G6" i="12"/>
  <c r="D25" i="12" s="1"/>
  <c r="C25" i="12"/>
  <c r="F25" i="12" s="1"/>
  <c r="C24" i="12"/>
  <c r="F24" i="12" s="1"/>
  <c r="H6" i="12"/>
  <c r="D26" i="12" s="1"/>
  <c r="C23" i="12"/>
  <c r="F23" i="12" s="1"/>
  <c r="C27" i="11"/>
  <c r="C23" i="11"/>
  <c r="F11" i="11"/>
  <c r="E23" i="11"/>
  <c r="C24" i="11"/>
  <c r="D20" i="10"/>
  <c r="B20" i="10"/>
  <c r="G13" i="8"/>
  <c r="F13" i="8"/>
  <c r="E13" i="8"/>
  <c r="J19" i="8"/>
  <c r="J18" i="8"/>
  <c r="J15" i="8"/>
  <c r="J20" i="8"/>
  <c r="J12" i="8"/>
  <c r="J17" i="8"/>
  <c r="J16" i="8"/>
  <c r="F26" i="12" l="1"/>
  <c r="G22" i="12" s="1"/>
  <c r="G11" i="11"/>
  <c r="E24" i="11"/>
  <c r="F24" i="11" s="1"/>
  <c r="F23" i="11"/>
  <c r="F20" i="10"/>
  <c r="G20" i="10"/>
  <c r="E20" i="10"/>
  <c r="J19" i="10"/>
  <c r="H13" i="8"/>
  <c r="B14" i="8" s="1"/>
  <c r="G22" i="11" l="1"/>
  <c r="E25" i="11"/>
  <c r="F25" i="11" s="1"/>
  <c r="H11" i="11"/>
  <c r="E26" i="11" s="1"/>
  <c r="F26" i="11" s="1"/>
  <c r="H20" i="10"/>
  <c r="C21" i="10" s="1"/>
  <c r="I12" i="8"/>
  <c r="I13" i="8"/>
  <c r="D14" i="8"/>
  <c r="C14" i="8"/>
  <c r="B21" i="10" l="1"/>
  <c r="I19" i="10"/>
  <c r="D21" i="10"/>
  <c r="J20" i="10"/>
  <c r="J13" i="8"/>
  <c r="J14" i="8"/>
  <c r="F6" i="6"/>
  <c r="F7" i="6"/>
  <c r="F8" i="6"/>
  <c r="F5" i="6"/>
  <c r="E5" i="4"/>
  <c r="E5" i="6"/>
  <c r="D5" i="6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5" i="1"/>
  <c r="J6" i="3"/>
  <c r="J7" i="3"/>
  <c r="J8" i="3"/>
  <c r="J9" i="3"/>
  <c r="J10" i="3"/>
  <c r="J11" i="3"/>
  <c r="J12" i="3"/>
  <c r="J13" i="3"/>
  <c r="J14" i="3"/>
  <c r="J5" i="3"/>
  <c r="E6" i="4"/>
  <c r="E7" i="4"/>
  <c r="E8" i="4"/>
  <c r="E9" i="4"/>
  <c r="E10" i="4"/>
  <c r="E11" i="4"/>
  <c r="E12" i="4"/>
  <c r="E13" i="4"/>
  <c r="E14" i="4"/>
  <c r="C7" i="4"/>
  <c r="D6" i="4"/>
  <c r="D5" i="4"/>
  <c r="E21" i="10" l="1"/>
  <c r="F21" i="10"/>
  <c r="G21" i="10"/>
  <c r="C6" i="6"/>
  <c r="D6" i="6" s="1"/>
  <c r="D7" i="4"/>
  <c r="C8" i="4" s="1"/>
  <c r="H21" i="10" l="1"/>
  <c r="E6" i="6"/>
  <c r="C7" i="6" s="1"/>
  <c r="E7" i="6" s="1"/>
  <c r="D7" i="6"/>
  <c r="D8" i="4"/>
  <c r="C9" i="4" s="1"/>
  <c r="B22" i="10" l="1"/>
  <c r="I20" i="10"/>
  <c r="C22" i="10"/>
  <c r="D22" i="10"/>
  <c r="C8" i="6"/>
  <c r="D9" i="4"/>
  <c r="C10" i="4" s="1"/>
  <c r="G22" i="10" l="1"/>
  <c r="E22" i="10"/>
  <c r="F22" i="10"/>
  <c r="J21" i="10"/>
  <c r="E8" i="6"/>
  <c r="D8" i="6"/>
  <c r="D10" i="4"/>
  <c r="C11" i="4" s="1"/>
  <c r="H22" i="10" l="1"/>
  <c r="D23" i="10" s="1"/>
  <c r="D11" i="4"/>
  <c r="C12" i="4" s="1"/>
  <c r="B23" i="10" l="1"/>
  <c r="I21" i="10"/>
  <c r="C23" i="10"/>
  <c r="D12" i="4"/>
  <c r="C13" i="4" s="1"/>
  <c r="D13" i="4" s="1"/>
  <c r="C14" i="4" s="1"/>
  <c r="D14" i="4" s="1"/>
  <c r="E23" i="10" l="1"/>
  <c r="F23" i="10"/>
  <c r="G23" i="10"/>
  <c r="J22" i="10"/>
  <c r="G5" i="3"/>
  <c r="E5" i="3" s="1"/>
  <c r="H5" i="3" s="1"/>
  <c r="F5" i="3"/>
  <c r="H23" i="10" l="1"/>
  <c r="B24" i="10" s="1"/>
  <c r="C6" i="3"/>
  <c r="D6" i="3"/>
  <c r="G6" i="3" s="1"/>
  <c r="I5" i="3"/>
  <c r="D24" i="10" l="1"/>
  <c r="I22" i="10"/>
  <c r="C24" i="10"/>
  <c r="F6" i="3"/>
  <c r="E6" i="3"/>
  <c r="H6" i="3" s="1"/>
  <c r="F24" i="10" l="1"/>
  <c r="J23" i="10"/>
  <c r="G24" i="10"/>
  <c r="E24" i="10"/>
  <c r="H24" i="10" s="1"/>
  <c r="C7" i="3"/>
  <c r="D7" i="3"/>
  <c r="G7" i="3" s="1"/>
  <c r="I6" i="3"/>
  <c r="B25" i="10" l="1"/>
  <c r="I23" i="10"/>
  <c r="D25" i="10"/>
  <c r="C25" i="10"/>
  <c r="F7" i="3"/>
  <c r="E7" i="3"/>
  <c r="H7" i="3" s="1"/>
  <c r="F25" i="10" l="1"/>
  <c r="G25" i="10"/>
  <c r="E25" i="10"/>
  <c r="H25" i="10" s="1"/>
  <c r="J24" i="10"/>
  <c r="D8" i="3"/>
  <c r="G8" i="3" s="1"/>
  <c r="C8" i="3"/>
  <c r="I7" i="3"/>
  <c r="B26" i="10" l="1"/>
  <c r="I24" i="10"/>
  <c r="D26" i="10"/>
  <c r="C26" i="10"/>
  <c r="F8" i="3"/>
  <c r="E8" i="3" s="1"/>
  <c r="H8" i="3" s="1"/>
  <c r="G26" i="10" l="1"/>
  <c r="E26" i="10"/>
  <c r="F26" i="10"/>
  <c r="J25" i="10"/>
  <c r="I8" i="3"/>
  <c r="C9" i="3"/>
  <c r="D9" i="3"/>
  <c r="G9" i="3" s="1"/>
  <c r="H26" i="10" l="1"/>
  <c r="D27" i="10" s="1"/>
  <c r="F9" i="3"/>
  <c r="E9" i="3" s="1"/>
  <c r="H9" i="3" s="1"/>
  <c r="B27" i="10" l="1"/>
  <c r="I25" i="10"/>
  <c r="C27" i="10"/>
  <c r="C10" i="3"/>
  <c r="I9" i="3"/>
  <c r="D10" i="3"/>
  <c r="G10" i="3" s="1"/>
  <c r="E27" i="10" l="1"/>
  <c r="F27" i="10"/>
  <c r="G27" i="10"/>
  <c r="J26" i="10"/>
  <c r="F10" i="3"/>
  <c r="E10" i="3" s="1"/>
  <c r="H10" i="3" s="1"/>
  <c r="H27" i="10" l="1"/>
  <c r="D11" i="3"/>
  <c r="G11" i="3" s="1"/>
  <c r="C11" i="3"/>
  <c r="I10" i="3"/>
  <c r="D28" i="10" l="1"/>
  <c r="I26" i="10"/>
  <c r="C28" i="10"/>
  <c r="B28" i="10"/>
  <c r="F11" i="3"/>
  <c r="E11" i="3"/>
  <c r="H11" i="3" s="1"/>
  <c r="E28" i="10" l="1"/>
  <c r="H28" i="10" s="1"/>
  <c r="I27" i="10" s="1"/>
  <c r="F28" i="10"/>
  <c r="G28" i="10"/>
  <c r="J27" i="10"/>
  <c r="D12" i="3"/>
  <c r="G12" i="3" s="1"/>
  <c r="C12" i="3"/>
  <c r="I11" i="3"/>
  <c r="F12" i="3" l="1"/>
  <c r="E12" i="3" s="1"/>
  <c r="H12" i="3" s="1"/>
  <c r="I12" i="3" l="1"/>
  <c r="D13" i="3"/>
  <c r="G13" i="3" s="1"/>
  <c r="C13" i="3"/>
  <c r="F13" i="3" l="1"/>
  <c r="E13" i="3" s="1"/>
  <c r="H13" i="3" s="1"/>
  <c r="I13" i="3" l="1"/>
  <c r="D14" i="3"/>
  <c r="G14" i="3" s="1"/>
  <c r="C14" i="3"/>
  <c r="F14" i="3" l="1"/>
  <c r="E14" i="3" s="1"/>
  <c r="H14" i="3" s="1"/>
  <c r="D15" i="3" l="1"/>
  <c r="G15" i="3" s="1"/>
  <c r="C15" i="3"/>
  <c r="I14" i="3"/>
  <c r="F15" i="3" l="1"/>
  <c r="E15" i="3"/>
  <c r="H15" i="3" s="1"/>
  <c r="I15" i="3" l="1"/>
  <c r="D16" i="3"/>
  <c r="G16" i="3" s="1"/>
  <c r="C16" i="3"/>
  <c r="F16" i="3" l="1"/>
  <c r="E16" i="3"/>
  <c r="H16" i="3" s="1"/>
  <c r="I16" i="3" l="1"/>
  <c r="D17" i="3"/>
  <c r="G17" i="3" s="1"/>
  <c r="C17" i="3"/>
  <c r="F17" i="3" l="1"/>
  <c r="E17" i="3"/>
  <c r="H17" i="3" s="1"/>
  <c r="C18" i="3" l="1"/>
  <c r="I17" i="3"/>
  <c r="D18" i="3"/>
  <c r="G18" i="3" s="1"/>
  <c r="F18" i="3" l="1"/>
  <c r="E18" i="3" s="1"/>
  <c r="H18" i="3" s="1"/>
  <c r="D19" i="3" l="1"/>
  <c r="G19" i="3" s="1"/>
  <c r="C19" i="3"/>
  <c r="I18" i="3"/>
  <c r="F19" i="3" l="1"/>
  <c r="E19" i="3"/>
  <c r="H19" i="3" s="1"/>
  <c r="D20" i="3" l="1"/>
  <c r="G20" i="3" s="1"/>
  <c r="C20" i="3"/>
  <c r="I19" i="3"/>
  <c r="F20" i="3" l="1"/>
  <c r="E20" i="3" s="1"/>
  <c r="H20" i="3" s="1"/>
  <c r="D21" i="3" l="1"/>
  <c r="G21" i="3" s="1"/>
  <c r="C21" i="3"/>
  <c r="I20" i="3"/>
  <c r="F21" i="3" l="1"/>
  <c r="E21" i="3"/>
  <c r="H21" i="3" s="1"/>
  <c r="I21" i="3" l="1"/>
  <c r="D22" i="3"/>
  <c r="G22" i="3" s="1"/>
  <c r="C22" i="3"/>
  <c r="F22" i="3" l="1"/>
  <c r="E22" i="3" s="1"/>
  <c r="H22" i="3" s="1"/>
  <c r="D23" i="3" l="1"/>
  <c r="G23" i="3" s="1"/>
  <c r="C23" i="3"/>
  <c r="I22" i="3"/>
  <c r="F23" i="3" l="1"/>
  <c r="E23" i="3"/>
  <c r="H23" i="3" s="1"/>
  <c r="D24" i="3" l="1"/>
  <c r="G24" i="3" s="1"/>
  <c r="C24" i="3"/>
  <c r="I23" i="3"/>
  <c r="F24" i="3" l="1"/>
  <c r="E24" i="3" s="1"/>
  <c r="H24" i="3" s="1"/>
  <c r="G7" i="1"/>
  <c r="F7" i="1"/>
  <c r="E7" i="1"/>
  <c r="H7" i="1" s="1"/>
  <c r="G6" i="1"/>
  <c r="F6" i="1"/>
  <c r="E6" i="1"/>
  <c r="H6" i="1" s="1"/>
  <c r="I6" i="1" s="1"/>
  <c r="H5" i="1"/>
  <c r="I5" i="1" s="1"/>
  <c r="G5" i="1"/>
  <c r="F5" i="1"/>
  <c r="E5" i="1"/>
  <c r="I24" i="3" l="1"/>
  <c r="D8" i="1"/>
  <c r="G8" i="1" s="1"/>
  <c r="C8" i="1"/>
  <c r="I7" i="1"/>
  <c r="E8" i="1" l="1"/>
  <c r="H8" i="1" s="1"/>
  <c r="F8" i="1"/>
  <c r="D9" i="1" l="1"/>
  <c r="G9" i="1" s="1"/>
  <c r="C9" i="1"/>
  <c r="I8" i="1"/>
  <c r="F9" i="1" l="1"/>
  <c r="E9" i="1"/>
  <c r="H9" i="1" s="1"/>
  <c r="D10" i="1" l="1"/>
  <c r="G10" i="1" s="1"/>
  <c r="C10" i="1"/>
  <c r="I9" i="1"/>
  <c r="F10" i="1" l="1"/>
  <c r="E10" i="1"/>
  <c r="H10" i="1" s="1"/>
  <c r="C11" i="1" l="1"/>
  <c r="I10" i="1"/>
  <c r="D11" i="1"/>
  <c r="G11" i="1" s="1"/>
  <c r="F11" i="1" l="1"/>
  <c r="E11" i="1"/>
  <c r="H11" i="1" s="1"/>
  <c r="D12" i="1" l="1"/>
  <c r="G12" i="1" s="1"/>
  <c r="I11" i="1"/>
  <c r="C12" i="1"/>
  <c r="F12" i="1" l="1"/>
  <c r="E12" i="1"/>
  <c r="H12" i="1" s="1"/>
  <c r="I12" i="1" l="1"/>
  <c r="D13" i="1"/>
  <c r="G13" i="1" s="1"/>
  <c r="C13" i="1"/>
  <c r="F13" i="1" l="1"/>
  <c r="E13" i="1"/>
  <c r="H13" i="1" s="1"/>
  <c r="C14" i="1" l="1"/>
  <c r="I13" i="1"/>
  <c r="D14" i="1"/>
  <c r="G14" i="1" s="1"/>
  <c r="F14" i="1" l="1"/>
  <c r="E14" i="1"/>
  <c r="H14" i="1" s="1"/>
  <c r="D15" i="1" l="1"/>
  <c r="G15" i="1" s="1"/>
  <c r="C15" i="1"/>
  <c r="I14" i="1"/>
  <c r="E15" i="1" l="1"/>
  <c r="H15" i="1" s="1"/>
  <c r="F15" i="1"/>
  <c r="D16" i="1" l="1"/>
  <c r="G16" i="1" s="1"/>
  <c r="C16" i="1"/>
  <c r="I15" i="1"/>
  <c r="E16" i="1" l="1"/>
  <c r="H16" i="1" s="1"/>
  <c r="F16" i="1"/>
  <c r="D17" i="1" l="1"/>
  <c r="G17" i="1" s="1"/>
  <c r="C17" i="1"/>
  <c r="I16" i="1"/>
  <c r="F17" i="1" l="1"/>
  <c r="E17" i="1"/>
  <c r="H17" i="1" s="1"/>
  <c r="I17" i="1" l="1"/>
  <c r="D18" i="1"/>
  <c r="G18" i="1" s="1"/>
  <c r="C18" i="1"/>
  <c r="F18" i="1" l="1"/>
  <c r="E18" i="1"/>
  <c r="H18" i="1" s="1"/>
  <c r="I18" i="1" l="1"/>
  <c r="D19" i="1"/>
  <c r="G19" i="1" s="1"/>
  <c r="C19" i="1"/>
  <c r="F19" i="1" l="1"/>
  <c r="E19" i="1"/>
  <c r="H19" i="1" s="1"/>
  <c r="C20" i="1" l="1"/>
  <c r="I19" i="1"/>
  <c r="D20" i="1"/>
  <c r="G20" i="1" s="1"/>
  <c r="F20" i="1" l="1"/>
  <c r="E20" i="1"/>
  <c r="H20" i="1" s="1"/>
  <c r="I20" i="1" l="1"/>
  <c r="D21" i="1"/>
  <c r="G21" i="1" s="1"/>
  <c r="C21" i="1"/>
  <c r="F21" i="1" l="1"/>
  <c r="E21" i="1"/>
  <c r="H21" i="1" s="1"/>
  <c r="C22" i="1" l="1"/>
  <c r="D22" i="1"/>
  <c r="G22" i="1" s="1"/>
  <c r="I21" i="1"/>
  <c r="F22" i="1" l="1"/>
  <c r="E22" i="1"/>
  <c r="H22" i="1" s="1"/>
  <c r="D23" i="1" l="1"/>
  <c r="G23" i="1" s="1"/>
  <c r="C23" i="1"/>
  <c r="I22" i="1"/>
  <c r="F23" i="1" l="1"/>
  <c r="E23" i="1"/>
  <c r="H23" i="1" s="1"/>
  <c r="D24" i="1" l="1"/>
  <c r="G24" i="1" s="1"/>
  <c r="C24" i="1"/>
  <c r="I23" i="1"/>
  <c r="E24" i="1" l="1"/>
  <c r="H24" i="1" s="1"/>
  <c r="F24" i="1"/>
  <c r="D25" i="1" l="1"/>
  <c r="G25" i="1" s="1"/>
  <c r="C25" i="1"/>
  <c r="I24" i="1"/>
  <c r="F25" i="1" l="1"/>
  <c r="E25" i="1"/>
  <c r="H25" i="1" s="1"/>
</calcChain>
</file>

<file path=xl/sharedStrings.xml><?xml version="1.0" encoding="utf-8"?>
<sst xmlns="http://schemas.openxmlformats.org/spreadsheetml/2006/main" count="207" uniqueCount="120">
  <si>
    <t>i</t>
  </si>
  <si>
    <t>a</t>
  </si>
  <si>
    <t>b</t>
  </si>
  <si>
    <t>c</t>
  </si>
  <si>
    <t>f(a)</t>
  </si>
  <si>
    <t>f(b)</t>
  </si>
  <si>
    <t>f(c)</t>
  </si>
  <si>
    <t>Selang baru</t>
  </si>
  <si>
    <t>To use:</t>
  </si>
  <si>
    <r>
      <t xml:space="preserve">2) Replace formula in </t>
    </r>
    <r>
      <rPr>
        <b/>
        <sz val="11"/>
        <color theme="1"/>
        <rFont val="Calibri"/>
        <family val="2"/>
        <scheme val="minor"/>
      </rPr>
      <t xml:space="preserve">f(a), f(b) and f(c) </t>
    </r>
    <r>
      <rPr>
        <sz val="11"/>
        <color theme="1"/>
        <rFont val="Calibri"/>
        <family val="2"/>
        <scheme val="minor"/>
      </rPr>
      <t>as per question's equation</t>
    </r>
  </si>
  <si>
    <r>
      <t xml:space="preserve">4) Root is </t>
    </r>
    <r>
      <rPr>
        <b/>
        <sz val="11"/>
        <color theme="1"/>
        <rFont val="Calibri"/>
        <family val="2"/>
        <scheme val="minor"/>
      </rPr>
      <t>c</t>
    </r>
  </si>
  <si>
    <r>
      <t>x</t>
    </r>
    <r>
      <rPr>
        <b/>
        <vertAlign val="subscript"/>
        <sz val="11"/>
        <rFont val="Calibri"/>
        <family val="2"/>
        <scheme val="minor"/>
      </rPr>
      <t>i</t>
    </r>
  </si>
  <si>
    <r>
      <t>f(x</t>
    </r>
    <r>
      <rPr>
        <b/>
        <vertAlign val="subscript"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>)</t>
    </r>
  </si>
  <si>
    <r>
      <t xml:space="preserve">2) Replace formula in </t>
    </r>
    <r>
      <rPr>
        <b/>
        <sz val="11"/>
        <color theme="1"/>
        <rFont val="Calibri"/>
        <family val="2"/>
        <scheme val="minor"/>
      </rPr>
      <t>f(x</t>
    </r>
    <r>
      <rPr>
        <b/>
        <vertAlign val="subscript"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 xml:space="preserve">) </t>
    </r>
    <r>
      <rPr>
        <sz val="11"/>
        <color theme="1"/>
        <rFont val="Calibri"/>
        <family val="2"/>
        <scheme val="minor"/>
      </rPr>
      <t>as per question's equation</t>
    </r>
  </si>
  <si>
    <t>f(x) &lt; error value</t>
  </si>
  <si>
    <t>error value</t>
  </si>
  <si>
    <r>
      <t xml:space="preserve">1) Insert value </t>
    </r>
    <r>
      <rPr>
        <b/>
        <sz val="12"/>
        <color theme="1"/>
        <rFont val="Calibri"/>
        <family val="2"/>
        <scheme val="minor"/>
      </rPr>
      <t>a, b and error value</t>
    </r>
    <r>
      <rPr>
        <sz val="11"/>
        <color theme="1"/>
        <rFont val="Calibri"/>
        <family val="2"/>
        <scheme val="minor"/>
      </rPr>
      <t xml:space="preserve"> as per questions</t>
    </r>
  </si>
  <si>
    <r>
      <t xml:space="preserve">4) Root is </t>
    </r>
    <r>
      <rPr>
        <b/>
        <sz val="11"/>
        <color theme="1"/>
        <rFont val="Calibri"/>
        <family val="2"/>
        <scheme val="minor"/>
      </rPr>
      <t>x</t>
    </r>
    <r>
      <rPr>
        <b/>
        <vertAlign val="subscript"/>
        <sz val="11"/>
        <color theme="1"/>
        <rFont val="Calibri"/>
        <family val="2"/>
        <scheme val="minor"/>
      </rPr>
      <t>i</t>
    </r>
  </si>
  <si>
    <t>x</t>
  </si>
  <si>
    <t>f(x)</t>
  </si>
  <si>
    <t>f'(x)</t>
  </si>
  <si>
    <r>
      <t xml:space="preserve">1) Insert value </t>
    </r>
    <r>
      <rPr>
        <b/>
        <sz val="12"/>
        <color theme="1"/>
        <rFont val="Calibri"/>
        <family val="2"/>
        <scheme val="minor"/>
      </rPr>
      <t>x</t>
    </r>
    <r>
      <rPr>
        <b/>
        <vertAlign val="subscript"/>
        <sz val="12"/>
        <color theme="1"/>
        <rFont val="Calibri"/>
        <family val="2"/>
        <scheme val="minor"/>
      </rPr>
      <t>0</t>
    </r>
    <r>
      <rPr>
        <b/>
        <sz val="12"/>
        <color theme="1"/>
        <rFont val="Calibri"/>
        <family val="2"/>
        <scheme val="minor"/>
      </rPr>
      <t xml:space="preserve"> and error value</t>
    </r>
    <r>
      <rPr>
        <sz val="11"/>
        <color theme="1"/>
        <rFont val="Calibri"/>
        <family val="2"/>
        <scheme val="minor"/>
      </rPr>
      <t xml:space="preserve"> as per questions</t>
    </r>
  </si>
  <si>
    <r>
      <t xml:space="preserve">5) Root is </t>
    </r>
    <r>
      <rPr>
        <b/>
        <sz val="11"/>
        <color theme="1"/>
        <rFont val="Calibri"/>
        <family val="2"/>
        <scheme val="minor"/>
      </rPr>
      <t>x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</si>
  <si>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 xml:space="preserve">2) Differentiate </t>
    </r>
    <r>
      <rPr>
        <b/>
        <sz val="11"/>
        <color theme="1"/>
        <rFont val="Calibri"/>
        <family val="2"/>
        <scheme val="minor"/>
      </rPr>
      <t xml:space="preserve">f(x) </t>
    </r>
    <r>
      <rPr>
        <sz val="11"/>
        <color theme="1"/>
        <rFont val="Calibri"/>
        <family val="2"/>
        <scheme val="minor"/>
      </rPr>
      <t xml:space="preserve">to </t>
    </r>
    <r>
      <rPr>
        <b/>
        <sz val="11"/>
        <color theme="1"/>
        <rFont val="Calibri"/>
        <family val="2"/>
        <scheme val="minor"/>
      </rPr>
      <t>f'(x)</t>
    </r>
  </si>
  <si>
    <r>
      <t xml:space="preserve">3) Replace formula in </t>
    </r>
    <r>
      <rPr>
        <b/>
        <sz val="11"/>
        <color theme="1"/>
        <rFont val="Calibri"/>
        <family val="2"/>
        <scheme val="minor"/>
      </rPr>
      <t xml:space="preserve">f(x) and f'(x) </t>
    </r>
    <r>
      <rPr>
        <sz val="11"/>
        <color theme="1"/>
        <rFont val="Calibri"/>
        <family val="2"/>
        <scheme val="minor"/>
      </rPr>
      <t>as per question's equation</t>
    </r>
  </si>
  <si>
    <r>
      <t xml:space="preserve">4) Drag the rows until </t>
    </r>
    <r>
      <rPr>
        <b/>
        <sz val="11"/>
        <color theme="1"/>
        <rFont val="Calibri"/>
        <family val="2"/>
        <scheme val="minor"/>
      </rPr>
      <t>f(x) &lt; error value</t>
    </r>
  </si>
  <si>
    <r>
      <t xml:space="preserve">3) Drag the rows until </t>
    </r>
    <r>
      <rPr>
        <b/>
        <sz val="11"/>
        <color theme="1"/>
        <rFont val="Calibri"/>
        <family val="2"/>
        <scheme val="minor"/>
      </rPr>
      <t>f(x</t>
    </r>
    <r>
      <rPr>
        <b/>
        <vertAlign val="subscript"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>) &lt; error value</t>
    </r>
  </si>
  <si>
    <r>
      <t xml:space="preserve">3) Drag the rows until </t>
    </r>
    <r>
      <rPr>
        <b/>
        <sz val="11"/>
        <color theme="1"/>
        <rFont val="Calibri"/>
        <family val="2"/>
        <scheme val="minor"/>
      </rPr>
      <t>f(c) &lt; error value</t>
    </r>
  </si>
  <si>
    <r>
      <t xml:space="preserve">1) Insert value </t>
    </r>
    <r>
      <rPr>
        <b/>
        <sz val="12"/>
        <color theme="1"/>
        <rFont val="Calibri"/>
        <family val="2"/>
        <scheme val="minor"/>
      </rPr>
      <t>x</t>
    </r>
    <r>
      <rPr>
        <b/>
        <vertAlign val="subscript"/>
        <sz val="12"/>
        <color theme="1"/>
        <rFont val="Calibri"/>
        <family val="2"/>
        <scheme val="minor"/>
      </rPr>
      <t>0</t>
    </r>
    <r>
      <rPr>
        <b/>
        <sz val="12"/>
        <color theme="1"/>
        <rFont val="Calibri"/>
        <family val="2"/>
        <scheme val="minor"/>
      </rPr>
      <t xml:space="preserve"> , x</t>
    </r>
    <r>
      <rPr>
        <b/>
        <vertAlign val="subscript"/>
        <sz val="12"/>
        <color theme="1"/>
        <rFont val="Calibri"/>
        <family val="2"/>
        <scheme val="minor"/>
      </rPr>
      <t xml:space="preserve">1 </t>
    </r>
    <r>
      <rPr>
        <b/>
        <sz val="12"/>
        <color theme="1"/>
        <rFont val="Calibri"/>
        <family val="2"/>
        <scheme val="minor"/>
      </rPr>
      <t>and error value</t>
    </r>
    <r>
      <rPr>
        <sz val="11"/>
        <color theme="1"/>
        <rFont val="Calibri"/>
        <family val="2"/>
        <scheme val="minor"/>
      </rPr>
      <t xml:space="preserve"> as per questions</t>
    </r>
  </si>
  <si>
    <t>k</t>
  </si>
  <si>
    <t>Vk</t>
  </si>
  <si>
    <t>Avk</t>
  </si>
  <si>
    <t>m</t>
  </si>
  <si>
    <t>m &lt; 0.005</t>
  </si>
  <si>
    <t>Matrix Calculation</t>
  </si>
  <si>
    <t>=</t>
  </si>
  <si>
    <t>A</t>
  </si>
  <si>
    <t>V</t>
  </si>
  <si>
    <t>Vk+1 - Vk</t>
  </si>
  <si>
    <t>-</t>
  </si>
  <si>
    <r>
      <t xml:space="preserve">1) Insert value </t>
    </r>
    <r>
      <rPr>
        <b/>
        <sz val="11"/>
        <color theme="1"/>
        <rFont val="Calibri"/>
        <family val="2"/>
        <scheme val="minor"/>
      </rPr>
      <t xml:space="preserve">A, </t>
    </r>
    <r>
      <rPr>
        <b/>
        <sz val="12"/>
        <color theme="1"/>
        <rFont val="Calibri"/>
        <family val="2"/>
        <scheme val="minor"/>
      </rPr>
      <t>V, and Vk</t>
    </r>
    <r>
      <rPr>
        <sz val="11"/>
        <color theme="1"/>
        <rFont val="Calibri"/>
        <family val="2"/>
        <scheme val="minor"/>
      </rPr>
      <t xml:space="preserve"> as per questions</t>
    </r>
  </si>
  <si>
    <t>Lambda 1</t>
  </si>
  <si>
    <t>I</t>
  </si>
  <si>
    <t>B</t>
  </si>
  <si>
    <t>BVk</t>
  </si>
  <si>
    <t>Bvk</t>
  </si>
  <si>
    <r>
      <t xml:space="preserve">1) Insert value </t>
    </r>
    <r>
      <rPr>
        <b/>
        <sz val="11"/>
        <color theme="1"/>
        <rFont val="Calibri"/>
        <family val="2"/>
        <scheme val="minor"/>
      </rPr>
      <t>Lambda 1,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A, </t>
    </r>
    <r>
      <rPr>
        <b/>
        <sz val="12"/>
        <color theme="1"/>
        <rFont val="Calibri"/>
        <family val="2"/>
        <scheme val="minor"/>
      </rPr>
      <t>V, and Vk</t>
    </r>
    <r>
      <rPr>
        <sz val="11"/>
        <color theme="1"/>
        <rFont val="Calibri"/>
        <family val="2"/>
        <scheme val="minor"/>
      </rPr>
      <t xml:space="preserve"> as per questions</t>
    </r>
  </si>
  <si>
    <t>B = A - (Lambda 1 * I)</t>
  </si>
  <si>
    <t>Newton Backward</t>
  </si>
  <si>
    <t>p_5x = SUM(p)+y-last</t>
  </si>
  <si>
    <t>y</t>
  </si>
  <si>
    <t>h = difference between x1-x0</t>
  </si>
  <si>
    <t>r = (x-x-last)/h * where x = x to find</t>
  </si>
  <si>
    <t>x to find</t>
  </si>
  <si>
    <t>r</t>
  </si>
  <si>
    <t>Polynomial</t>
  </si>
  <si>
    <t>r+in</t>
  </si>
  <si>
    <t>r+in factorial</t>
  </si>
  <si>
    <t>factorial i</t>
  </si>
  <si>
    <t>p(x)</t>
  </si>
  <si>
    <t>p_5(x)</t>
  </si>
  <si>
    <t>Newton Forward Difference</t>
  </si>
  <si>
    <t>p_5x = SUM(p)+y0</t>
  </si>
  <si>
    <t>r = (x-x0)/h * where x = x to find</t>
  </si>
  <si>
    <t>p_5(x) is final answer</t>
  </si>
  <si>
    <t>r-in</t>
  </si>
  <si>
    <t>r-in factorial</t>
  </si>
  <si>
    <t>Newton Divided</t>
  </si>
  <si>
    <t>*skip 1 row in x</t>
  </si>
  <si>
    <t>*skip 2 row in x</t>
  </si>
  <si>
    <t>*skip 3 row in x</t>
  </si>
  <si>
    <t>delta y1</t>
  </si>
  <si>
    <t>delta y2</t>
  </si>
  <si>
    <t>delta y3</t>
  </si>
  <si>
    <t>delta y4</t>
  </si>
  <si>
    <t>x-xn</t>
  </si>
  <si>
    <t>x-xn!</t>
  </si>
  <si>
    <t>delta y</t>
  </si>
  <si>
    <t>delta y * x-xn!</t>
  </si>
  <si>
    <t>p_x(4)</t>
  </si>
  <si>
    <t>Lagrange</t>
  </si>
  <si>
    <t>L0</t>
  </si>
  <si>
    <t>L1</t>
  </si>
  <si>
    <t>L2</t>
  </si>
  <si>
    <t>L3</t>
  </si>
  <si>
    <t>L4</t>
  </si>
  <si>
    <t>SUM OF L</t>
  </si>
  <si>
    <t>p4(x)</t>
  </si>
  <si>
    <t>Least Square</t>
  </si>
  <si>
    <t>* will give a general equation</t>
  </si>
  <si>
    <t>Calculation table</t>
  </si>
  <si>
    <t>xk</t>
  </si>
  <si>
    <t>fk</t>
  </si>
  <si>
    <t>xk^0</t>
  </si>
  <si>
    <t>xk^1</t>
  </si>
  <si>
    <t>xk^2</t>
  </si>
  <si>
    <t>xk^0fk</t>
  </si>
  <si>
    <t>xk^1fk</t>
  </si>
  <si>
    <t>s1</t>
  </si>
  <si>
    <t>s2</t>
  </si>
  <si>
    <t>s3</t>
  </si>
  <si>
    <t>v1</t>
  </si>
  <si>
    <t>v2</t>
  </si>
  <si>
    <t>A =</t>
  </si>
  <si>
    <t>X =</t>
  </si>
  <si>
    <t>a0</t>
  </si>
  <si>
    <t>B=</t>
  </si>
  <si>
    <t>a1</t>
  </si>
  <si>
    <t>X = Inverse_A * B</t>
  </si>
  <si>
    <t>Trapezoid</t>
  </si>
  <si>
    <t>h</t>
  </si>
  <si>
    <t>i = (b-a)/h</t>
  </si>
  <si>
    <t>xi</t>
  </si>
  <si>
    <t>Total</t>
  </si>
  <si>
    <t>N mesti genap baru boleh</t>
  </si>
  <si>
    <t>Appr = (h/2)(s1 + 2s2)</t>
  </si>
  <si>
    <t>f(x)dx</t>
  </si>
  <si>
    <t>Appr = (h/3)(s1 + 4s2 + 2s3)</t>
  </si>
  <si>
    <t>N mesti boleh dibahagi dengan 3</t>
  </si>
  <si>
    <t>Appr = (3h/8)(s1 + 3s2 + 2s3)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</si>
</sst>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 "/>
    <numFmt numFmtId="165" formatCode="0.000_ "/>
    <numFmt numFmtId="166" formatCode="0.0000"/>
    <numFmt numFmtId="167" formatCode="0.000"/>
    <numFmt numFmtId="168" formatCode="0.00000000"/>
    <numFmt numFmtId="169" formatCode="0.000000"/>
    <numFmt numFmtId="170" formatCode="0.00000"/>
    <numFmt numFmtId="171" formatCode="0.0000000000"/>
    <numFmt numFmtId="172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Arial"/>
      <family val="2"/>
    </font>
    <font>
      <b/>
      <vertAlign val="subscript"/>
      <sz val="1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bscript"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20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20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>
      <alignment vertical="center"/>
    </xf>
    <xf numFmtId="0" fontId="10" fillId="0" borderId="0"/>
  </cellStyleXfs>
  <cellXfs count="103">
    <xf numFmtId="0" fontId="0" fillId="0" borderId="0" xfId="0"/>
    <xf numFmtId="0" fontId="0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0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0" borderId="10" xfId="0" applyBorder="1"/>
    <xf numFmtId="0" fontId="2" fillId="3" borderId="5" xfId="0" applyFont="1" applyFill="1" applyBorder="1"/>
    <xf numFmtId="0" fontId="2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5" fillId="6" borderId="1" xfId="2" applyFont="1" applyFill="1" applyBorder="1" applyAlignment="1">
      <alignment horizontal="center" vertical="center"/>
    </xf>
    <xf numFmtId="0" fontId="5" fillId="7" borderId="1" xfId="2" applyFont="1" applyFill="1" applyBorder="1" applyAlignment="1">
      <alignment horizontal="center" vertical="center"/>
    </xf>
    <xf numFmtId="0" fontId="10" fillId="0" borderId="0" xfId="2"/>
    <xf numFmtId="0" fontId="10" fillId="0" borderId="1" xfId="2" applyBorder="1" applyAlignment="1">
      <alignment horizontal="center"/>
    </xf>
    <xf numFmtId="0" fontId="10" fillId="4" borderId="1" xfId="2" applyFill="1" applyBorder="1" applyAlignment="1">
      <alignment horizontal="center"/>
    </xf>
    <xf numFmtId="0" fontId="10" fillId="5" borderId="1" xfId="2" applyFill="1" applyBorder="1" applyAlignment="1">
      <alignment horizontal="center"/>
    </xf>
    <xf numFmtId="0" fontId="10" fillId="6" borderId="1" xfId="2" applyFill="1" applyBorder="1" applyAlignment="1">
      <alignment horizontal="center"/>
    </xf>
    <xf numFmtId="0" fontId="10" fillId="7" borderId="1" xfId="2" applyFill="1" applyBorder="1" applyAlignment="1">
      <alignment horizontal="center"/>
    </xf>
    <xf numFmtId="167" fontId="10" fillId="0" borderId="1" xfId="2" applyNumberFormat="1" applyBorder="1" applyAlignment="1">
      <alignment horizontal="center"/>
    </xf>
    <xf numFmtId="167" fontId="10" fillId="4" borderId="1" xfId="2" applyNumberFormat="1" applyFill="1" applyBorder="1" applyAlignment="1">
      <alignment horizontal="center"/>
    </xf>
    <xf numFmtId="0" fontId="10" fillId="2" borderId="0" xfId="2" applyFill="1"/>
    <xf numFmtId="0" fontId="10" fillId="0" borderId="0" xfId="2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2" fillId="3" borderId="12" xfId="0" applyFont="1" applyFill="1" applyBorder="1"/>
    <xf numFmtId="168" fontId="10" fillId="5" borderId="1" xfId="2" applyNumberFormat="1" applyFill="1" applyBorder="1" applyAlignment="1">
      <alignment horizontal="center"/>
    </xf>
    <xf numFmtId="0" fontId="5" fillId="0" borderId="0" xfId="2" applyFont="1"/>
    <xf numFmtId="0" fontId="0" fillId="0" borderId="0" xfId="0" applyFill="1" applyBorder="1"/>
    <xf numFmtId="0" fontId="2" fillId="0" borderId="0" xfId="0" applyFont="1" applyFill="1" applyBorder="1"/>
    <xf numFmtId="0" fontId="10" fillId="0" borderId="0" xfId="2" applyFill="1" applyBorder="1"/>
    <xf numFmtId="0" fontId="10" fillId="0" borderId="5" xfId="2" applyBorder="1" applyAlignment="1">
      <alignment horizontal="center" vertical="center"/>
    </xf>
    <xf numFmtId="0" fontId="10" fillId="0" borderId="6" xfId="2" applyBorder="1" applyAlignment="1">
      <alignment horizontal="center" vertical="center"/>
    </xf>
    <xf numFmtId="0" fontId="10" fillId="0" borderId="0" xfId="2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0" fillId="0" borderId="11" xfId="2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166" fontId="0" fillId="2" borderId="2" xfId="0" applyNumberFormat="1" applyFill="1" applyBorder="1" applyAlignment="1">
      <alignment horizontal="center" vertical="center"/>
    </xf>
    <xf numFmtId="166" fontId="0" fillId="2" borderId="3" xfId="0" applyNumberFormat="1" applyFill="1" applyBorder="1" applyAlignment="1">
      <alignment horizontal="center" vertical="center"/>
    </xf>
    <xf numFmtId="166" fontId="0" fillId="2" borderId="4" xfId="0" applyNumberFormat="1" applyFill="1" applyBorder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71" fontId="0" fillId="0" borderId="1" xfId="0" applyNumberFormat="1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166" fontId="0" fillId="2" borderId="13" xfId="0" applyNumberForma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166" fontId="0" fillId="2" borderId="11" xfId="0" applyNumberForma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166" fontId="0" fillId="2" borderId="15" xfId="0" applyNumberForma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70" fontId="0" fillId="0" borderId="1" xfId="0" applyNumberFormat="1" applyBorder="1" applyAlignment="1">
      <alignment horizontal="center" vertical="center"/>
    </xf>
    <xf numFmtId="170" fontId="0" fillId="0" borderId="14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72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8" borderId="1" xfId="0" applyFill="1" applyBorder="1" applyAlignment="1">
      <alignment horizontal="center" vertical="center"/>
    </xf>
    <xf numFmtId="172" fontId="0" fillId="8" borderId="1" xfId="0" applyNumberFormat="1" applyFill="1" applyBorder="1" applyAlignment="1">
      <alignment horizontal="center" vertical="center"/>
    </xf>
    <xf numFmtId="172" fontId="0" fillId="0" borderId="0" xfId="0" applyNumberFormat="1"/>
    <xf numFmtId="172" fontId="1" fillId="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4" borderId="1" xfId="2" applyFon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1" xr:uid="{649C7F8F-51F8-4703-9745-B0F118367050}"/>
    <cellStyle name="Normal 3" xfId="2" xr:uid="{87E85FC5-8CFF-4C9E-B220-ABD983E23FF4}"/>
  </cellStyles>
  <dxfs count="4">
    <dxf>
      <fill>
        <patternFill>
          <bgColor theme="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756920</xdr:colOff>
      <xdr:row>14</xdr:row>
      <xdr:rowOff>96520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4AF6AE9-8F69-4C05-BBDB-FF33FFA60F14}"/>
            </a:ext>
          </a:extLst>
        </xdr:cNvPr>
        <xdr:cNvSpPr txBox="1"/>
      </xdr:nvSpPr>
      <xdr:spPr>
        <a:xfrm>
          <a:off x="6731000" y="287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756920</xdr:colOff>
      <xdr:row>14</xdr:row>
      <xdr:rowOff>96520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E51A0B7-DB02-406B-BA67-496DE698AB90}"/>
            </a:ext>
          </a:extLst>
        </xdr:cNvPr>
        <xdr:cNvSpPr txBox="1"/>
      </xdr:nvSpPr>
      <xdr:spPr>
        <a:xfrm>
          <a:off x="6731000" y="287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756920</xdr:colOff>
      <xdr:row>21</xdr:row>
      <xdr:rowOff>96520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B56A93-3A4D-4ED2-A685-AF62F2D8ADA6}"/>
            </a:ext>
          </a:extLst>
        </xdr:cNvPr>
        <xdr:cNvSpPr txBox="1"/>
      </xdr:nvSpPr>
      <xdr:spPr>
        <a:xfrm>
          <a:off x="6731000" y="287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756920</xdr:colOff>
      <xdr:row>21</xdr:row>
      <xdr:rowOff>96520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8F954E5-9D7C-4E76-8B71-3C8F09657B76}"/>
            </a:ext>
          </a:extLst>
        </xdr:cNvPr>
        <xdr:cNvSpPr txBox="1"/>
      </xdr:nvSpPr>
      <xdr:spPr>
        <a:xfrm>
          <a:off x="6731000" y="287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A8491-E025-46CC-883E-AA3CFBDC7FFD}">
  <dimension ref="B2:S25"/>
  <sheetViews>
    <sheetView workbookViewId="0">
      <selection activeCell="M23" sqref="M23"/>
    </sheetView>
  </sheetViews>
  <sheetFormatPr defaultRowHeight="14.4" x14ac:dyDescent="0.3"/>
  <cols>
    <col min="2" max="2" width="10.109375" bestFit="1" customWidth="1"/>
    <col min="9" max="9" width="10.88671875" bestFit="1" customWidth="1"/>
    <col min="10" max="10" width="15" bestFit="1" customWidth="1"/>
  </cols>
  <sheetData>
    <row r="2" spans="2:19" x14ac:dyDescent="0.3">
      <c r="B2" s="18" t="s">
        <v>15</v>
      </c>
      <c r="C2" s="19">
        <v>5.0000000000000001E-3</v>
      </c>
    </row>
    <row r="3" spans="2:19" x14ac:dyDescent="0.3">
      <c r="M3" s="12"/>
    </row>
    <row r="4" spans="2:19" x14ac:dyDescent="0.3">
      <c r="B4" s="14" t="s">
        <v>0</v>
      </c>
      <c r="C4" s="15" t="s">
        <v>1</v>
      </c>
      <c r="D4" s="15" t="s">
        <v>2</v>
      </c>
      <c r="E4" s="14" t="s">
        <v>3</v>
      </c>
      <c r="F4" s="14" t="s">
        <v>4</v>
      </c>
      <c r="G4" s="14" t="s">
        <v>5</v>
      </c>
      <c r="H4" s="14" t="s">
        <v>6</v>
      </c>
      <c r="I4" s="14" t="s">
        <v>7</v>
      </c>
      <c r="J4" s="18" t="s">
        <v>14</v>
      </c>
      <c r="M4" s="13" t="s">
        <v>8</v>
      </c>
      <c r="N4" s="4"/>
      <c r="O4" s="4"/>
      <c r="P4" s="4"/>
      <c r="Q4" s="4"/>
      <c r="R4" s="4"/>
      <c r="S4" s="5"/>
    </row>
    <row r="5" spans="2:19" ht="15.6" x14ac:dyDescent="0.3">
      <c r="B5" s="1">
        <v>0</v>
      </c>
      <c r="C5" s="2">
        <v>2</v>
      </c>
      <c r="D5" s="2">
        <v>7</v>
      </c>
      <c r="E5" s="2">
        <f t="shared" ref="E5:E25" si="0">(C5+D5)/2</f>
        <v>4.5</v>
      </c>
      <c r="F5" s="2">
        <f t="shared" ref="F5:H25" si="1">(2*((C5)*(C5))-18)</f>
        <v>-10</v>
      </c>
      <c r="G5" s="2">
        <f t="shared" si="1"/>
        <v>80</v>
      </c>
      <c r="H5" s="2">
        <f t="shared" si="1"/>
        <v>22.5</v>
      </c>
      <c r="I5" s="1" t="str">
        <f t="shared" ref="I5:I24" si="2">IF(H5&gt;0,"a,c","b,c")</f>
        <v>a,c</v>
      </c>
      <c r="J5" t="str">
        <f>IF(ABS(H5)&lt;$C$2, "ROOT FOUND", "KEEP LOOKING")</f>
        <v>KEEP LOOKING</v>
      </c>
      <c r="M5" s="6" t="s">
        <v>16</v>
      </c>
      <c r="N5" s="7"/>
      <c r="O5" s="7"/>
      <c r="P5" s="7"/>
      <c r="Q5" s="7"/>
      <c r="R5" s="7"/>
      <c r="S5" s="8"/>
    </row>
    <row r="6" spans="2:19" x14ac:dyDescent="0.3">
      <c r="B6" s="1">
        <v>1</v>
      </c>
      <c r="C6" s="2">
        <v>3</v>
      </c>
      <c r="D6" s="2">
        <v>-3</v>
      </c>
      <c r="E6" s="2">
        <f t="shared" si="0"/>
        <v>0</v>
      </c>
      <c r="F6" s="2">
        <f t="shared" si="1"/>
        <v>0</v>
      </c>
      <c r="G6" s="2">
        <f t="shared" si="1"/>
        <v>0</v>
      </c>
      <c r="H6" s="2">
        <f t="shared" si="1"/>
        <v>-18</v>
      </c>
      <c r="I6" s="1" t="str">
        <f t="shared" si="2"/>
        <v>b,c</v>
      </c>
      <c r="J6" t="str">
        <f t="shared" ref="J6:J25" si="3">IF(ABS(H6)&lt;$C$2, "ROOT FOUND", "KEEP LOOKING")</f>
        <v>KEEP LOOKING</v>
      </c>
      <c r="M6" s="6" t="s">
        <v>9</v>
      </c>
      <c r="N6" s="7"/>
      <c r="O6" s="7"/>
      <c r="P6" s="7"/>
      <c r="Q6" s="7"/>
      <c r="R6" s="7"/>
      <c r="S6" s="8"/>
    </row>
    <row r="7" spans="2:19" x14ac:dyDescent="0.3">
      <c r="B7" s="1">
        <v>2</v>
      </c>
      <c r="C7" s="2">
        <v>2</v>
      </c>
      <c r="D7" s="2">
        <v>4.5</v>
      </c>
      <c r="E7" s="2">
        <f t="shared" si="0"/>
        <v>3.25</v>
      </c>
      <c r="F7" s="2">
        <f t="shared" si="1"/>
        <v>-10</v>
      </c>
      <c r="G7" s="2">
        <f t="shared" si="1"/>
        <v>22.5</v>
      </c>
      <c r="H7" s="2">
        <f t="shared" si="1"/>
        <v>3.125</v>
      </c>
      <c r="I7" s="1" t="str">
        <f t="shared" si="2"/>
        <v>a,c</v>
      </c>
      <c r="J7" t="str">
        <f t="shared" si="3"/>
        <v>KEEP LOOKING</v>
      </c>
      <c r="M7" s="6" t="s">
        <v>27</v>
      </c>
      <c r="N7" s="7"/>
      <c r="O7" s="7"/>
      <c r="P7" s="7"/>
      <c r="Q7" s="7"/>
      <c r="R7" s="7"/>
      <c r="S7" s="8"/>
    </row>
    <row r="8" spans="2:19" x14ac:dyDescent="0.3">
      <c r="B8" s="1">
        <v>3</v>
      </c>
      <c r="C8" s="2">
        <f t="shared" ref="C8:C25" si="4">IF(H7&lt;0,E7,C7)</f>
        <v>2</v>
      </c>
      <c r="D8" s="2">
        <f t="shared" ref="D8:D25" si="5">IF(H7&gt;0,E7,D7)</f>
        <v>3.25</v>
      </c>
      <c r="E8" s="2">
        <f t="shared" si="0"/>
        <v>2.625</v>
      </c>
      <c r="F8" s="2">
        <f t="shared" si="1"/>
        <v>-10</v>
      </c>
      <c r="G8" s="2">
        <f t="shared" si="1"/>
        <v>3.125</v>
      </c>
      <c r="H8" s="2">
        <f t="shared" si="1"/>
        <v>-4.21875</v>
      </c>
      <c r="I8" s="1" t="str">
        <f t="shared" si="2"/>
        <v>b,c</v>
      </c>
      <c r="J8" t="str">
        <f t="shared" si="3"/>
        <v>KEEP LOOKING</v>
      </c>
      <c r="M8" s="6" t="s">
        <v>10</v>
      </c>
      <c r="N8" s="7"/>
      <c r="O8" s="7"/>
      <c r="P8" s="7"/>
      <c r="Q8" s="7"/>
      <c r="R8" s="7"/>
      <c r="S8" s="8"/>
    </row>
    <row r="9" spans="2:19" x14ac:dyDescent="0.3">
      <c r="B9" s="1">
        <v>4</v>
      </c>
      <c r="C9" s="2">
        <f t="shared" si="4"/>
        <v>2.625</v>
      </c>
      <c r="D9" s="2">
        <f t="shared" si="5"/>
        <v>3.25</v>
      </c>
      <c r="E9" s="2">
        <f t="shared" si="0"/>
        <v>2.9375</v>
      </c>
      <c r="F9" s="2">
        <f t="shared" si="1"/>
        <v>-4.21875</v>
      </c>
      <c r="G9" s="2">
        <f t="shared" si="1"/>
        <v>3.125</v>
      </c>
      <c r="H9" s="2">
        <f t="shared" si="1"/>
        <v>-0.7421875</v>
      </c>
      <c r="I9" s="1" t="str">
        <f t="shared" si="2"/>
        <v>b,c</v>
      </c>
      <c r="J9" t="str">
        <f t="shared" si="3"/>
        <v>KEEP LOOKING</v>
      </c>
      <c r="M9" s="6"/>
      <c r="N9" s="7"/>
      <c r="O9" s="7"/>
      <c r="P9" s="7"/>
      <c r="Q9" s="7"/>
      <c r="R9" s="7"/>
      <c r="S9" s="8"/>
    </row>
    <row r="10" spans="2:19" x14ac:dyDescent="0.3">
      <c r="B10" s="1">
        <v>5</v>
      </c>
      <c r="C10" s="2">
        <f t="shared" si="4"/>
        <v>2.9375</v>
      </c>
      <c r="D10" s="2">
        <f t="shared" si="5"/>
        <v>3.25</v>
      </c>
      <c r="E10" s="2">
        <f t="shared" si="0"/>
        <v>3.09375</v>
      </c>
      <c r="F10" s="2">
        <f t="shared" si="1"/>
        <v>-0.7421875</v>
      </c>
      <c r="G10" s="2">
        <f t="shared" si="1"/>
        <v>3.125</v>
      </c>
      <c r="H10" s="2">
        <f t="shared" si="1"/>
        <v>1.142578125</v>
      </c>
      <c r="I10" s="1" t="str">
        <f t="shared" si="2"/>
        <v>a,c</v>
      </c>
      <c r="J10" t="str">
        <f t="shared" si="3"/>
        <v>KEEP LOOKING</v>
      </c>
      <c r="M10" s="6"/>
      <c r="N10" s="7"/>
      <c r="O10" s="7"/>
      <c r="P10" s="7"/>
      <c r="Q10" s="7"/>
      <c r="R10" s="7"/>
      <c r="S10" s="8"/>
    </row>
    <row r="11" spans="2:19" x14ac:dyDescent="0.3">
      <c r="B11" s="1">
        <v>6</v>
      </c>
      <c r="C11" s="2">
        <f t="shared" si="4"/>
        <v>2.9375</v>
      </c>
      <c r="D11" s="2">
        <f t="shared" si="5"/>
        <v>3.09375</v>
      </c>
      <c r="E11" s="2">
        <f t="shared" si="0"/>
        <v>3.015625</v>
      </c>
      <c r="F11" s="2">
        <f t="shared" si="1"/>
        <v>-0.7421875</v>
      </c>
      <c r="G11" s="2">
        <f t="shared" si="1"/>
        <v>1.142578125</v>
      </c>
      <c r="H11" s="2">
        <f t="shared" si="1"/>
        <v>0.18798828125</v>
      </c>
      <c r="I11" s="1" t="str">
        <f t="shared" si="2"/>
        <v>a,c</v>
      </c>
      <c r="J11" t="str">
        <f t="shared" si="3"/>
        <v>KEEP LOOKING</v>
      </c>
      <c r="M11" s="6"/>
      <c r="N11" s="7"/>
      <c r="O11" s="7"/>
      <c r="P11" s="7"/>
      <c r="Q11" s="7"/>
      <c r="R11" s="7"/>
      <c r="S11" s="8"/>
    </row>
    <row r="12" spans="2:19" x14ac:dyDescent="0.3">
      <c r="B12" s="1">
        <v>7</v>
      </c>
      <c r="C12" s="2">
        <f t="shared" si="4"/>
        <v>2.9375</v>
      </c>
      <c r="D12" s="2">
        <f t="shared" si="5"/>
        <v>3.015625</v>
      </c>
      <c r="E12" s="2">
        <f t="shared" si="0"/>
        <v>2.9765625</v>
      </c>
      <c r="F12" s="2">
        <f t="shared" si="1"/>
        <v>-0.7421875</v>
      </c>
      <c r="G12" s="2">
        <f t="shared" si="1"/>
        <v>0.18798828125</v>
      </c>
      <c r="H12" s="2">
        <f t="shared" si="1"/>
        <v>-0.2801513671875</v>
      </c>
      <c r="I12" s="1" t="str">
        <f t="shared" si="2"/>
        <v>b,c</v>
      </c>
      <c r="J12" t="str">
        <f t="shared" si="3"/>
        <v>KEEP LOOKING</v>
      </c>
      <c r="M12" s="9"/>
      <c r="N12" s="10"/>
      <c r="O12" s="10"/>
      <c r="P12" s="10"/>
      <c r="Q12" s="10"/>
      <c r="R12" s="10"/>
      <c r="S12" s="11"/>
    </row>
    <row r="13" spans="2:19" x14ac:dyDescent="0.3">
      <c r="B13" s="1">
        <v>8</v>
      </c>
      <c r="C13" s="2">
        <f t="shared" si="4"/>
        <v>2.9765625</v>
      </c>
      <c r="D13" s="2">
        <f t="shared" si="5"/>
        <v>3.015625</v>
      </c>
      <c r="E13" s="2">
        <f t="shared" si="0"/>
        <v>2.99609375</v>
      </c>
      <c r="F13" s="2">
        <f t="shared" si="1"/>
        <v>-0.2801513671875</v>
      </c>
      <c r="G13" s="2">
        <f t="shared" si="1"/>
        <v>0.18798828125</v>
      </c>
      <c r="H13" s="2">
        <f t="shared" si="1"/>
        <v>-4.6844482421875E-2</v>
      </c>
      <c r="I13" s="1" t="str">
        <f t="shared" si="2"/>
        <v>b,c</v>
      </c>
      <c r="J13" t="str">
        <f t="shared" si="3"/>
        <v>KEEP LOOKING</v>
      </c>
    </row>
    <row r="14" spans="2:19" x14ac:dyDescent="0.3">
      <c r="B14" s="1">
        <v>9</v>
      </c>
      <c r="C14" s="2">
        <f t="shared" si="4"/>
        <v>2.99609375</v>
      </c>
      <c r="D14" s="2">
        <f t="shared" si="5"/>
        <v>3.015625</v>
      </c>
      <c r="E14" s="2">
        <f t="shared" si="0"/>
        <v>3.005859375</v>
      </c>
      <c r="F14" s="2">
        <f t="shared" si="1"/>
        <v>-4.6844482421875E-2</v>
      </c>
      <c r="G14" s="2">
        <f t="shared" si="1"/>
        <v>0.18798828125</v>
      </c>
      <c r="H14" s="2">
        <f t="shared" si="1"/>
        <v>7.038116455078125E-2</v>
      </c>
      <c r="I14" s="1" t="str">
        <f t="shared" si="2"/>
        <v>a,c</v>
      </c>
      <c r="J14" t="str">
        <f t="shared" si="3"/>
        <v>KEEP LOOKING</v>
      </c>
    </row>
    <row r="15" spans="2:19" x14ac:dyDescent="0.3">
      <c r="B15" s="1">
        <v>10</v>
      </c>
      <c r="C15" s="2">
        <f t="shared" si="4"/>
        <v>2.99609375</v>
      </c>
      <c r="D15" s="2">
        <f t="shared" si="5"/>
        <v>3.005859375</v>
      </c>
      <c r="E15" s="2">
        <f t="shared" si="0"/>
        <v>3.0009765625</v>
      </c>
      <c r="F15" s="2">
        <f t="shared" si="1"/>
        <v>-4.6844482421875E-2</v>
      </c>
      <c r="G15" s="2">
        <f t="shared" si="1"/>
        <v>7.038116455078125E-2</v>
      </c>
      <c r="H15" s="2">
        <f t="shared" si="1"/>
        <v>1.1720657348632813E-2</v>
      </c>
      <c r="I15" s="1" t="str">
        <f t="shared" si="2"/>
        <v>a,c</v>
      </c>
      <c r="J15" t="str">
        <f t="shared" si="3"/>
        <v>KEEP LOOKING</v>
      </c>
    </row>
    <row r="16" spans="2:19" x14ac:dyDescent="0.3">
      <c r="B16" s="1">
        <v>11</v>
      </c>
      <c r="C16" s="2">
        <f t="shared" si="4"/>
        <v>2.99609375</v>
      </c>
      <c r="D16" s="2">
        <f t="shared" si="5"/>
        <v>3.0009765625</v>
      </c>
      <c r="E16" s="2">
        <f t="shared" si="0"/>
        <v>2.99853515625</v>
      </c>
      <c r="F16" s="2">
        <f t="shared" si="1"/>
        <v>-4.6844482421875E-2</v>
      </c>
      <c r="G16" s="2">
        <f t="shared" si="1"/>
        <v>1.1720657348632813E-2</v>
      </c>
      <c r="H16" s="2">
        <f t="shared" si="1"/>
        <v>-1.7573833465576172E-2</v>
      </c>
      <c r="I16" s="1" t="str">
        <f t="shared" si="2"/>
        <v>b,c</v>
      </c>
      <c r="J16" t="str">
        <f t="shared" si="3"/>
        <v>KEEP LOOKING</v>
      </c>
    </row>
    <row r="17" spans="2:10" x14ac:dyDescent="0.3">
      <c r="B17" s="1">
        <v>12</v>
      </c>
      <c r="C17" s="2">
        <f t="shared" si="4"/>
        <v>2.99853515625</v>
      </c>
      <c r="D17" s="2">
        <f t="shared" si="5"/>
        <v>3.0009765625</v>
      </c>
      <c r="E17" s="2">
        <f t="shared" si="0"/>
        <v>2.999755859375</v>
      </c>
      <c r="F17" s="2">
        <f t="shared" si="1"/>
        <v>-1.7573833465576172E-2</v>
      </c>
      <c r="G17" s="2">
        <f t="shared" si="1"/>
        <v>1.1720657348632813E-2</v>
      </c>
      <c r="H17" s="2">
        <f t="shared" si="1"/>
        <v>-2.9295682907104492E-3</v>
      </c>
      <c r="I17" s="1" t="str">
        <f t="shared" si="2"/>
        <v>b,c</v>
      </c>
      <c r="J17" t="str">
        <f t="shared" si="3"/>
        <v>ROOT FOUND</v>
      </c>
    </row>
    <row r="18" spans="2:10" x14ac:dyDescent="0.3">
      <c r="B18" s="1">
        <v>13</v>
      </c>
      <c r="C18" s="2">
        <f t="shared" si="4"/>
        <v>2.999755859375</v>
      </c>
      <c r="D18" s="2">
        <f t="shared" si="5"/>
        <v>3.0009765625</v>
      </c>
      <c r="E18" s="2">
        <f t="shared" si="0"/>
        <v>3.0003662109375</v>
      </c>
      <c r="F18" s="2">
        <f t="shared" si="1"/>
        <v>-2.9295682907104492E-3</v>
      </c>
      <c r="G18" s="2">
        <f t="shared" si="1"/>
        <v>1.1720657348632813E-2</v>
      </c>
      <c r="H18" s="102">
        <f t="shared" si="1"/>
        <v>4.3947994709014893E-3</v>
      </c>
      <c r="I18" s="1" t="str">
        <f t="shared" si="2"/>
        <v>a,c</v>
      </c>
      <c r="J18" t="str">
        <f t="shared" si="3"/>
        <v>ROOT FOUND</v>
      </c>
    </row>
    <row r="19" spans="2:10" x14ac:dyDescent="0.3">
      <c r="B19" s="1">
        <v>14</v>
      </c>
      <c r="C19" s="2">
        <f t="shared" si="4"/>
        <v>2.999755859375</v>
      </c>
      <c r="D19" s="2">
        <f t="shared" si="5"/>
        <v>3.0003662109375</v>
      </c>
      <c r="E19" s="2">
        <f t="shared" si="0"/>
        <v>3.00006103515625</v>
      </c>
      <c r="F19" s="2">
        <f t="shared" si="1"/>
        <v>-2.9295682907104492E-3</v>
      </c>
      <c r="G19" s="2">
        <f t="shared" si="1"/>
        <v>4.3947994709014893E-3</v>
      </c>
      <c r="H19" s="2">
        <f t="shared" si="1"/>
        <v>7.3242932558059692E-4</v>
      </c>
      <c r="I19" s="1" t="str">
        <f t="shared" si="2"/>
        <v>a,c</v>
      </c>
      <c r="J19" t="str">
        <f t="shared" si="3"/>
        <v>ROOT FOUND</v>
      </c>
    </row>
    <row r="20" spans="2:10" x14ac:dyDescent="0.3">
      <c r="B20" s="1">
        <v>15</v>
      </c>
      <c r="C20" s="2">
        <f t="shared" si="4"/>
        <v>2.999755859375</v>
      </c>
      <c r="D20" s="2">
        <f t="shared" si="5"/>
        <v>3.00006103515625</v>
      </c>
      <c r="E20" s="2">
        <f t="shared" si="0"/>
        <v>2.999908447265625</v>
      </c>
      <c r="F20" s="2">
        <f t="shared" si="1"/>
        <v>-2.9295682907104492E-3</v>
      </c>
      <c r="G20" s="2">
        <f t="shared" si="1"/>
        <v>7.3242932558059692E-4</v>
      </c>
      <c r="H20" s="2">
        <f t="shared" si="1"/>
        <v>-1.0986160486936569E-3</v>
      </c>
      <c r="I20" s="1" t="str">
        <f t="shared" si="2"/>
        <v>b,c</v>
      </c>
      <c r="J20" t="str">
        <f t="shared" si="3"/>
        <v>ROOT FOUND</v>
      </c>
    </row>
    <row r="21" spans="2:10" x14ac:dyDescent="0.3">
      <c r="B21" s="1">
        <v>16</v>
      </c>
      <c r="C21" s="2">
        <f t="shared" si="4"/>
        <v>2.999908447265625</v>
      </c>
      <c r="D21" s="2">
        <f t="shared" si="5"/>
        <v>3.00006103515625</v>
      </c>
      <c r="E21" s="2">
        <f t="shared" si="0"/>
        <v>2.9999847412109375</v>
      </c>
      <c r="F21" s="2">
        <f t="shared" si="1"/>
        <v>-1.0986160486936569E-3</v>
      </c>
      <c r="G21" s="2">
        <f t="shared" si="1"/>
        <v>7.3242932558059692E-4</v>
      </c>
      <c r="H21" s="2">
        <f t="shared" si="1"/>
        <v>-1.8310500308871269E-4</v>
      </c>
      <c r="I21" s="1" t="str">
        <f t="shared" si="2"/>
        <v>b,c</v>
      </c>
      <c r="J21" t="str">
        <f t="shared" si="3"/>
        <v>ROOT FOUND</v>
      </c>
    </row>
    <row r="22" spans="2:10" x14ac:dyDescent="0.3">
      <c r="B22" s="1">
        <v>17</v>
      </c>
      <c r="C22" s="2">
        <f t="shared" si="4"/>
        <v>2.9999847412109375</v>
      </c>
      <c r="D22" s="2">
        <f t="shared" si="5"/>
        <v>3.00006103515625</v>
      </c>
      <c r="E22" s="2">
        <f t="shared" si="0"/>
        <v>3.0000228881835938</v>
      </c>
      <c r="F22" s="2">
        <f t="shared" si="1"/>
        <v>-1.8310500308871269E-4</v>
      </c>
      <c r="G22" s="2">
        <f t="shared" si="1"/>
        <v>7.3242932558059692E-4</v>
      </c>
      <c r="H22" s="2">
        <f t="shared" si="1"/>
        <v>2.7465925086289644E-4</v>
      </c>
      <c r="I22" s="1" t="str">
        <f t="shared" si="2"/>
        <v>a,c</v>
      </c>
      <c r="J22" t="str">
        <f t="shared" si="3"/>
        <v>ROOT FOUND</v>
      </c>
    </row>
    <row r="23" spans="2:10" x14ac:dyDescent="0.3">
      <c r="B23" s="1">
        <v>18</v>
      </c>
      <c r="C23" s="2">
        <f t="shared" si="4"/>
        <v>2.9999847412109375</v>
      </c>
      <c r="D23" s="2">
        <f t="shared" si="5"/>
        <v>3.0000228881835938</v>
      </c>
      <c r="E23" s="2">
        <f t="shared" si="0"/>
        <v>3.0000038146972656</v>
      </c>
      <c r="F23" s="2">
        <f t="shared" si="1"/>
        <v>-1.8310500308871269E-4</v>
      </c>
      <c r="G23" s="2">
        <f t="shared" si="1"/>
        <v>2.7465925086289644E-4</v>
      </c>
      <c r="H23" s="2">
        <f t="shared" si="1"/>
        <v>4.5776396291330457E-5</v>
      </c>
      <c r="I23" s="1" t="str">
        <f t="shared" si="2"/>
        <v>a,c</v>
      </c>
      <c r="J23" t="str">
        <f t="shared" si="3"/>
        <v>ROOT FOUND</v>
      </c>
    </row>
    <row r="24" spans="2:10" x14ac:dyDescent="0.3">
      <c r="B24" s="1">
        <v>19</v>
      </c>
      <c r="C24" s="2">
        <f t="shared" si="4"/>
        <v>2.9999847412109375</v>
      </c>
      <c r="D24" s="2">
        <f t="shared" si="5"/>
        <v>3.0000038146972656</v>
      </c>
      <c r="E24" s="2">
        <f t="shared" si="0"/>
        <v>2.9999942779541016</v>
      </c>
      <c r="F24" s="2">
        <f t="shared" si="1"/>
        <v>-1.8310500308871269E-4</v>
      </c>
      <c r="G24" s="2">
        <f t="shared" si="1"/>
        <v>4.5776396291330457E-5</v>
      </c>
      <c r="H24" s="2">
        <f t="shared" si="1"/>
        <v>-6.8664485297631472E-5</v>
      </c>
      <c r="I24" s="1" t="str">
        <f t="shared" si="2"/>
        <v>b,c</v>
      </c>
      <c r="J24" t="str">
        <f t="shared" si="3"/>
        <v>ROOT FOUND</v>
      </c>
    </row>
    <row r="25" spans="2:10" x14ac:dyDescent="0.3">
      <c r="B25" s="1">
        <v>20</v>
      </c>
      <c r="C25" s="2">
        <f t="shared" si="4"/>
        <v>2.9999942779541016</v>
      </c>
      <c r="D25" s="2">
        <f t="shared" si="5"/>
        <v>3.0000038146972656</v>
      </c>
      <c r="E25" s="2">
        <f t="shared" si="0"/>
        <v>2.9999990463256836</v>
      </c>
      <c r="F25" s="2">
        <f t="shared" si="1"/>
        <v>-6.8664485297631472E-5</v>
      </c>
      <c r="G25" s="2">
        <f t="shared" si="1"/>
        <v>4.5776396291330457E-5</v>
      </c>
      <c r="H25" s="2">
        <f t="shared" si="1"/>
        <v>-1.1444089977885596E-5</v>
      </c>
      <c r="I25" s="1"/>
      <c r="J25" t="str">
        <f t="shared" si="3"/>
        <v>ROOT FOUND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CA10-3C29-43E7-84D8-EB0076D1FF54}">
  <dimension ref="B2:S25"/>
  <sheetViews>
    <sheetView workbookViewId="0">
      <selection activeCell="K14" sqref="K14"/>
    </sheetView>
  </sheetViews>
  <sheetFormatPr defaultRowHeight="14.4" x14ac:dyDescent="0.3"/>
  <cols>
    <col min="2" max="2" width="10.109375" bestFit="1" customWidth="1"/>
    <col min="9" max="9" width="10.33203125" bestFit="1" customWidth="1"/>
    <col min="10" max="10" width="15" bestFit="1" customWidth="1"/>
  </cols>
  <sheetData>
    <row r="2" spans="2:19" x14ac:dyDescent="0.3">
      <c r="B2" s="18" t="s">
        <v>15</v>
      </c>
      <c r="C2" s="19">
        <v>5.0000000000000001E-3</v>
      </c>
    </row>
    <row r="3" spans="2:19" x14ac:dyDescent="0.3">
      <c r="M3" s="12"/>
    </row>
    <row r="4" spans="2:19" x14ac:dyDescent="0.3">
      <c r="B4" s="14" t="s">
        <v>0</v>
      </c>
      <c r="C4" s="15" t="s">
        <v>1</v>
      </c>
      <c r="D4" s="15" t="s">
        <v>2</v>
      </c>
      <c r="E4" s="14" t="s">
        <v>3</v>
      </c>
      <c r="F4" s="14" t="s">
        <v>4</v>
      </c>
      <c r="G4" s="14" t="s">
        <v>5</v>
      </c>
      <c r="H4" s="14" t="s">
        <v>6</v>
      </c>
      <c r="I4" s="14" t="s">
        <v>7</v>
      </c>
      <c r="J4" s="18" t="s">
        <v>14</v>
      </c>
      <c r="M4" s="13" t="s">
        <v>8</v>
      </c>
      <c r="N4" s="4"/>
      <c r="O4" s="4"/>
      <c r="P4" s="4"/>
      <c r="Q4" s="4"/>
      <c r="R4" s="4"/>
      <c r="S4" s="5"/>
    </row>
    <row r="5" spans="2:19" ht="15.6" x14ac:dyDescent="0.3">
      <c r="B5" s="1">
        <v>0</v>
      </c>
      <c r="C5" s="2">
        <v>2</v>
      </c>
      <c r="D5" s="2">
        <v>7</v>
      </c>
      <c r="E5" s="2">
        <f t="shared" ref="E5:E24" si="0">((C5*G5)-(D5*F5))/(G5-F5)</f>
        <v>2.5555555555555554</v>
      </c>
      <c r="F5" s="2">
        <f t="shared" ref="F5:H24" si="1">(2*((C5)*(C5))-18)</f>
        <v>-10</v>
      </c>
      <c r="G5" s="2">
        <f t="shared" si="1"/>
        <v>80</v>
      </c>
      <c r="H5" s="2">
        <f t="shared" si="1"/>
        <v>-4.938271604938274</v>
      </c>
      <c r="I5" s="1" t="str">
        <f t="shared" ref="I5:I24" si="2">IF(H5&gt;0,"a,c","b,c")</f>
        <v>b,c</v>
      </c>
      <c r="J5" t="str">
        <f>IF(ABS(H5)&lt;$C$2, "ROOT FOUND", "KEEP LOOKING")</f>
        <v>KEEP LOOKING</v>
      </c>
      <c r="M5" s="6" t="s">
        <v>16</v>
      </c>
      <c r="N5" s="7"/>
      <c r="O5" s="7"/>
      <c r="P5" s="7"/>
      <c r="Q5" s="7"/>
      <c r="R5" s="7"/>
      <c r="S5" s="8"/>
    </row>
    <row r="6" spans="2:19" x14ac:dyDescent="0.3">
      <c r="B6" s="1">
        <v>1</v>
      </c>
      <c r="C6" s="2">
        <f t="shared" ref="C6:C24" si="3">IF(H5&lt;0,E5,C5)</f>
        <v>2.5555555555555554</v>
      </c>
      <c r="D6" s="2">
        <f t="shared" ref="D6:D24" si="4">IF(H5&gt;0,E5,D5)</f>
        <v>7</v>
      </c>
      <c r="E6" s="2">
        <f t="shared" si="0"/>
        <v>2.8139534883720927</v>
      </c>
      <c r="F6" s="2">
        <f t="shared" si="1"/>
        <v>-4.938271604938274</v>
      </c>
      <c r="G6" s="2">
        <f t="shared" si="1"/>
        <v>80</v>
      </c>
      <c r="H6" s="2">
        <f t="shared" si="1"/>
        <v>-2.1633315305570608</v>
      </c>
      <c r="I6" s="1" t="str">
        <f t="shared" si="2"/>
        <v>b,c</v>
      </c>
      <c r="J6" t="str">
        <f t="shared" ref="J6:J14" si="5">IF(ABS(H6)&lt;$C$2, "ROOT FOUND", "KEEP LOOKING")</f>
        <v>KEEP LOOKING</v>
      </c>
      <c r="M6" s="6" t="s">
        <v>9</v>
      </c>
      <c r="N6" s="7"/>
      <c r="O6" s="7"/>
      <c r="P6" s="7"/>
      <c r="Q6" s="7"/>
      <c r="R6" s="7"/>
      <c r="S6" s="8"/>
    </row>
    <row r="7" spans="2:19" x14ac:dyDescent="0.3">
      <c r="B7" s="1">
        <v>2</v>
      </c>
      <c r="C7" s="2">
        <f t="shared" si="3"/>
        <v>2.8139534883720927</v>
      </c>
      <c r="D7" s="2">
        <f t="shared" si="4"/>
        <v>7</v>
      </c>
      <c r="E7" s="2">
        <f t="shared" si="0"/>
        <v>2.9241706161137437</v>
      </c>
      <c r="F7" s="2">
        <f t="shared" si="1"/>
        <v>-2.1633315305570608</v>
      </c>
      <c r="G7" s="2">
        <f t="shared" si="1"/>
        <v>80</v>
      </c>
      <c r="H7" s="2">
        <f t="shared" si="1"/>
        <v>-0.89845241571393686</v>
      </c>
      <c r="I7" s="1" t="str">
        <f t="shared" si="2"/>
        <v>b,c</v>
      </c>
      <c r="J7" t="str">
        <f t="shared" si="5"/>
        <v>KEEP LOOKING</v>
      </c>
      <c r="M7" s="6" t="s">
        <v>27</v>
      </c>
      <c r="N7" s="7"/>
      <c r="O7" s="7"/>
      <c r="P7" s="7"/>
      <c r="Q7" s="7"/>
      <c r="R7" s="7"/>
      <c r="S7" s="8"/>
    </row>
    <row r="8" spans="2:19" x14ac:dyDescent="0.3">
      <c r="B8" s="1">
        <v>3</v>
      </c>
      <c r="C8" s="2">
        <f t="shared" si="3"/>
        <v>2.9241706161137437</v>
      </c>
      <c r="D8" s="2">
        <f t="shared" si="4"/>
        <v>7</v>
      </c>
      <c r="E8" s="2">
        <f t="shared" si="0"/>
        <v>2.9694364851957973</v>
      </c>
      <c r="F8" s="2">
        <f t="shared" si="1"/>
        <v>-0.89845241571393686</v>
      </c>
      <c r="G8" s="2">
        <f t="shared" si="1"/>
        <v>80</v>
      </c>
      <c r="H8" s="2">
        <f t="shared" si="1"/>
        <v>-0.36489392077605842</v>
      </c>
      <c r="I8" s="1" t="str">
        <f t="shared" si="2"/>
        <v>b,c</v>
      </c>
      <c r="J8" t="str">
        <f t="shared" si="5"/>
        <v>KEEP LOOKING</v>
      </c>
      <c r="M8" s="6" t="s">
        <v>10</v>
      </c>
      <c r="N8" s="7"/>
      <c r="O8" s="7"/>
      <c r="P8" s="7"/>
      <c r="Q8" s="7"/>
      <c r="R8" s="7"/>
      <c r="S8" s="8"/>
    </row>
    <row r="9" spans="2:19" x14ac:dyDescent="0.3">
      <c r="B9" s="1">
        <v>4</v>
      </c>
      <c r="C9" s="2">
        <f t="shared" si="3"/>
        <v>2.9694364851957973</v>
      </c>
      <c r="D9" s="2">
        <f t="shared" si="4"/>
        <v>7</v>
      </c>
      <c r="E9" s="2">
        <f t="shared" si="0"/>
        <v>2.9877371143897293</v>
      </c>
      <c r="F9" s="2">
        <f t="shared" si="1"/>
        <v>-0.36489392077605842</v>
      </c>
      <c r="G9" s="2">
        <f t="shared" si="1"/>
        <v>80</v>
      </c>
      <c r="H9" s="2">
        <f t="shared" si="1"/>
        <v>-0.1468538705962672</v>
      </c>
      <c r="I9" s="1" t="str">
        <f t="shared" si="2"/>
        <v>b,c</v>
      </c>
      <c r="J9" t="str">
        <f t="shared" si="5"/>
        <v>KEEP LOOKING</v>
      </c>
      <c r="M9" s="6"/>
      <c r="N9" s="7"/>
      <c r="O9" s="7"/>
      <c r="P9" s="7"/>
      <c r="Q9" s="7"/>
      <c r="R9" s="7"/>
      <c r="S9" s="8"/>
    </row>
    <row r="10" spans="2:19" x14ac:dyDescent="0.3">
      <c r="B10" s="1">
        <v>5</v>
      </c>
      <c r="C10" s="2">
        <f t="shared" si="3"/>
        <v>2.9877371143897293</v>
      </c>
      <c r="D10" s="2">
        <f t="shared" si="4"/>
        <v>7</v>
      </c>
      <c r="E10" s="2">
        <f t="shared" si="0"/>
        <v>2.9950888232360051</v>
      </c>
      <c r="F10" s="2">
        <f t="shared" si="1"/>
        <v>-0.1468538705962672</v>
      </c>
      <c r="G10" s="2">
        <f t="shared" si="1"/>
        <v>80</v>
      </c>
      <c r="H10" s="2">
        <f t="shared" si="1"/>
        <v>-5.8885881853523614E-2</v>
      </c>
      <c r="I10" s="1" t="str">
        <f t="shared" si="2"/>
        <v>b,c</v>
      </c>
      <c r="J10" t="str">
        <f t="shared" si="5"/>
        <v>KEEP LOOKING</v>
      </c>
      <c r="M10" s="6"/>
      <c r="N10" s="7"/>
      <c r="O10" s="7"/>
      <c r="P10" s="7"/>
      <c r="Q10" s="7"/>
      <c r="R10" s="7"/>
      <c r="S10" s="8"/>
    </row>
    <row r="11" spans="2:19" x14ac:dyDescent="0.3">
      <c r="B11" s="1">
        <v>6</v>
      </c>
      <c r="C11" s="2">
        <f t="shared" si="3"/>
        <v>2.9950888232360051</v>
      </c>
      <c r="D11" s="2">
        <f t="shared" si="4"/>
        <v>7</v>
      </c>
      <c r="E11" s="2">
        <f t="shared" si="0"/>
        <v>2.9980345640340573</v>
      </c>
      <c r="F11" s="2">
        <f t="shared" si="1"/>
        <v>-5.8885881853523614E-2</v>
      </c>
      <c r="G11" s="2">
        <f t="shared" si="1"/>
        <v>80</v>
      </c>
      <c r="H11" s="2">
        <f t="shared" si="1"/>
        <v>-2.3577505714239777E-2</v>
      </c>
      <c r="I11" s="1" t="str">
        <f t="shared" si="2"/>
        <v>b,c</v>
      </c>
      <c r="J11" t="str">
        <f t="shared" si="5"/>
        <v>KEEP LOOKING</v>
      </c>
      <c r="M11" s="6"/>
      <c r="N11" s="7"/>
      <c r="O11" s="7"/>
      <c r="P11" s="7"/>
      <c r="Q11" s="7"/>
      <c r="R11" s="7"/>
      <c r="S11" s="8"/>
    </row>
    <row r="12" spans="2:19" x14ac:dyDescent="0.3">
      <c r="B12" s="1">
        <v>7</v>
      </c>
      <c r="C12" s="2">
        <f t="shared" si="3"/>
        <v>2.9980345640340573</v>
      </c>
      <c r="D12" s="2">
        <f t="shared" si="4"/>
        <v>7</v>
      </c>
      <c r="E12" s="2">
        <f t="shared" si="0"/>
        <v>2.9992136710657062</v>
      </c>
      <c r="F12" s="2">
        <f t="shared" si="1"/>
        <v>-2.3577505714239777E-2</v>
      </c>
      <c r="G12" s="2">
        <f t="shared" si="1"/>
        <v>80</v>
      </c>
      <c r="H12" s="2">
        <f t="shared" si="1"/>
        <v>-9.4347105851397828E-3</v>
      </c>
      <c r="I12" s="1" t="str">
        <f t="shared" si="2"/>
        <v>b,c</v>
      </c>
      <c r="J12" t="str">
        <f t="shared" si="5"/>
        <v>KEEP LOOKING</v>
      </c>
      <c r="M12" s="9"/>
      <c r="N12" s="10"/>
      <c r="O12" s="10"/>
      <c r="P12" s="10"/>
      <c r="Q12" s="10"/>
      <c r="R12" s="10"/>
      <c r="S12" s="11"/>
    </row>
    <row r="13" spans="2:19" x14ac:dyDescent="0.3">
      <c r="B13" s="1">
        <v>8</v>
      </c>
      <c r="C13" s="2">
        <f t="shared" si="3"/>
        <v>2.9992136710657062</v>
      </c>
      <c r="D13" s="2">
        <f t="shared" si="4"/>
        <v>7</v>
      </c>
      <c r="E13" s="2">
        <f t="shared" si="0"/>
        <v>2.9996854436918099</v>
      </c>
      <c r="F13" s="2">
        <f t="shared" si="1"/>
        <v>-9.4347105851397828E-3</v>
      </c>
      <c r="G13" s="2">
        <f t="shared" si="1"/>
        <v>80</v>
      </c>
      <c r="H13" s="2">
        <f t="shared" si="1"/>
        <v>-3.7744778069388474E-3</v>
      </c>
      <c r="I13" s="1" t="str">
        <f t="shared" si="2"/>
        <v>b,c</v>
      </c>
      <c r="J13" t="str">
        <f t="shared" si="5"/>
        <v>ROOT FOUND</v>
      </c>
    </row>
    <row r="14" spans="2:19" x14ac:dyDescent="0.3">
      <c r="B14" s="1">
        <v>9</v>
      </c>
      <c r="C14" s="2">
        <f t="shared" si="3"/>
        <v>2.9996854436918099</v>
      </c>
      <c r="D14" s="2">
        <f t="shared" si="4"/>
        <v>7</v>
      </c>
      <c r="E14" s="2">
        <f t="shared" si="0"/>
        <v>2.9998741735187724</v>
      </c>
      <c r="F14" s="2">
        <f t="shared" si="1"/>
        <v>-3.7744778069388474E-3</v>
      </c>
      <c r="G14" s="2">
        <f t="shared" si="1"/>
        <v>80</v>
      </c>
      <c r="H14" s="2">
        <f t="shared" si="1"/>
        <v>-1.5098861101243699E-3</v>
      </c>
      <c r="I14" s="1" t="str">
        <f t="shared" si="2"/>
        <v>b,c</v>
      </c>
      <c r="J14" t="str">
        <f t="shared" si="5"/>
        <v>ROOT FOUND</v>
      </c>
    </row>
    <row r="15" spans="2:19" x14ac:dyDescent="0.3">
      <c r="B15" s="1">
        <v>10</v>
      </c>
      <c r="C15" s="2">
        <f t="shared" si="3"/>
        <v>2.9998741735187724</v>
      </c>
      <c r="D15" s="2">
        <f t="shared" si="4"/>
        <v>7</v>
      </c>
      <c r="E15" s="2">
        <f t="shared" si="0"/>
        <v>2.9999496687742089</v>
      </c>
      <c r="F15" s="2">
        <f t="shared" si="1"/>
        <v>-1.5098861101243699E-3</v>
      </c>
      <c r="G15" s="2">
        <f t="shared" si="1"/>
        <v>80</v>
      </c>
      <c r="H15" s="2">
        <f t="shared" si="1"/>
        <v>-6.0396964303066625E-4</v>
      </c>
      <c r="I15" s="1" t="str">
        <f t="shared" si="2"/>
        <v>b,c</v>
      </c>
    </row>
    <row r="16" spans="2:19" x14ac:dyDescent="0.3">
      <c r="B16" s="1">
        <v>11</v>
      </c>
      <c r="C16" s="2">
        <f t="shared" si="3"/>
        <v>2.9999496687742089</v>
      </c>
      <c r="D16" s="2">
        <f t="shared" si="4"/>
        <v>7</v>
      </c>
      <c r="E16" s="2">
        <f t="shared" si="0"/>
        <v>2.9999798674083533</v>
      </c>
      <c r="F16" s="2">
        <f t="shared" si="1"/>
        <v>-6.0396964303066625E-4</v>
      </c>
      <c r="G16" s="2">
        <f t="shared" si="1"/>
        <v>80</v>
      </c>
      <c r="H16" s="102">
        <f t="shared" si="1"/>
        <v>-2.4159028911796554E-4</v>
      </c>
      <c r="I16" s="1" t="str">
        <f t="shared" si="2"/>
        <v>b,c</v>
      </c>
    </row>
    <row r="17" spans="2:9" x14ac:dyDescent="0.3">
      <c r="B17" s="1">
        <v>12</v>
      </c>
      <c r="C17" s="2">
        <f t="shared" si="3"/>
        <v>2.9999798674083533</v>
      </c>
      <c r="D17" s="2">
        <f t="shared" si="4"/>
        <v>7</v>
      </c>
      <c r="E17" s="2">
        <f t="shared" si="0"/>
        <v>2.9999919469471283</v>
      </c>
      <c r="F17" s="2">
        <f t="shared" si="1"/>
        <v>-2.4159028911796554E-4</v>
      </c>
      <c r="G17" s="2">
        <f t="shared" si="1"/>
        <v>80</v>
      </c>
      <c r="H17" s="2">
        <f t="shared" si="1"/>
        <v>-9.6636504757441344E-5</v>
      </c>
      <c r="I17" s="1" t="str">
        <f t="shared" si="2"/>
        <v>b,c</v>
      </c>
    </row>
    <row r="18" spans="2:9" x14ac:dyDescent="0.3">
      <c r="B18" s="1">
        <v>13</v>
      </c>
      <c r="C18" s="2">
        <f t="shared" si="3"/>
        <v>2.9999919469471283</v>
      </c>
      <c r="D18" s="2">
        <f t="shared" si="4"/>
        <v>7</v>
      </c>
      <c r="E18" s="2">
        <f t="shared" si="0"/>
        <v>2.9999967787762571</v>
      </c>
      <c r="F18" s="2">
        <f t="shared" si="1"/>
        <v>-9.6636504757441344E-5</v>
      </c>
      <c r="G18" s="2">
        <f t="shared" si="1"/>
        <v>80</v>
      </c>
      <c r="H18" s="2">
        <f t="shared" si="1"/>
        <v>-3.8654664162862673E-5</v>
      </c>
      <c r="I18" s="1" t="str">
        <f t="shared" si="2"/>
        <v>b,c</v>
      </c>
    </row>
    <row r="19" spans="2:9" x14ac:dyDescent="0.3">
      <c r="B19" s="1">
        <v>14</v>
      </c>
      <c r="C19" s="2">
        <f t="shared" si="3"/>
        <v>2.9999967787762571</v>
      </c>
      <c r="D19" s="2">
        <f t="shared" si="4"/>
        <v>7</v>
      </c>
      <c r="E19" s="2">
        <f t="shared" si="0"/>
        <v>2.9999987115100879</v>
      </c>
      <c r="F19" s="2">
        <f t="shared" si="1"/>
        <v>-3.8654664162862673E-5</v>
      </c>
      <c r="G19" s="2">
        <f t="shared" si="1"/>
        <v>80</v>
      </c>
      <c r="H19" s="2">
        <f t="shared" si="1"/>
        <v>-1.5461875623401511E-5</v>
      </c>
      <c r="I19" s="1" t="str">
        <f t="shared" si="2"/>
        <v>b,c</v>
      </c>
    </row>
    <row r="20" spans="2:9" x14ac:dyDescent="0.3">
      <c r="B20" s="1">
        <v>15</v>
      </c>
      <c r="C20" s="2">
        <f t="shared" si="3"/>
        <v>2.9999987115100879</v>
      </c>
      <c r="D20" s="2">
        <f t="shared" si="4"/>
        <v>7</v>
      </c>
      <c r="E20" s="2">
        <f t="shared" si="0"/>
        <v>2.9999994846039688</v>
      </c>
      <c r="F20" s="2">
        <f t="shared" si="1"/>
        <v>-1.5461875623401511E-5</v>
      </c>
      <c r="G20" s="2">
        <f t="shared" si="1"/>
        <v>80</v>
      </c>
      <c r="H20" s="2">
        <f t="shared" si="1"/>
        <v>-6.1847518431079607E-6</v>
      </c>
      <c r="I20" s="1" t="str">
        <f t="shared" si="2"/>
        <v>b,c</v>
      </c>
    </row>
    <row r="21" spans="2:9" x14ac:dyDescent="0.3">
      <c r="B21" s="1">
        <v>16</v>
      </c>
      <c r="C21" s="2">
        <f t="shared" si="3"/>
        <v>2.9999994846039688</v>
      </c>
      <c r="D21" s="2">
        <f t="shared" si="4"/>
        <v>7</v>
      </c>
      <c r="E21" s="2">
        <f t="shared" si="0"/>
        <v>2.9999997938415768</v>
      </c>
      <c r="F21" s="2">
        <f t="shared" si="1"/>
        <v>-6.1847518431079607E-6</v>
      </c>
      <c r="G21" s="2">
        <f t="shared" si="1"/>
        <v>80</v>
      </c>
      <c r="H21" s="2">
        <f t="shared" si="1"/>
        <v>-2.4739009951701973E-6</v>
      </c>
      <c r="I21" s="1" t="str">
        <f t="shared" si="2"/>
        <v>b,c</v>
      </c>
    </row>
    <row r="22" spans="2:9" x14ac:dyDescent="0.3">
      <c r="B22" s="1">
        <v>17</v>
      </c>
      <c r="C22" s="2">
        <f t="shared" si="3"/>
        <v>2.9999997938415768</v>
      </c>
      <c r="D22" s="2">
        <f t="shared" si="4"/>
        <v>7</v>
      </c>
      <c r="E22" s="2">
        <f t="shared" si="0"/>
        <v>2.9999999175366292</v>
      </c>
      <c r="F22" s="2">
        <f t="shared" si="1"/>
        <v>-2.4739009951701973E-6</v>
      </c>
      <c r="G22" s="2">
        <f t="shared" si="1"/>
        <v>80</v>
      </c>
      <c r="H22" s="2">
        <f t="shared" si="1"/>
        <v>-9.8956043714792941E-7</v>
      </c>
      <c r="I22" s="1" t="str">
        <f t="shared" si="2"/>
        <v>b,c</v>
      </c>
    </row>
    <row r="23" spans="2:9" x14ac:dyDescent="0.3">
      <c r="B23" s="1">
        <v>18</v>
      </c>
      <c r="C23" s="2">
        <f t="shared" si="3"/>
        <v>2.9999999175366292</v>
      </c>
      <c r="D23" s="2">
        <f t="shared" si="4"/>
        <v>7</v>
      </c>
      <c r="E23" s="2">
        <f t="shared" si="0"/>
        <v>2.9999999670146513</v>
      </c>
      <c r="F23" s="2">
        <f t="shared" si="1"/>
        <v>-9.8956043714792941E-7</v>
      </c>
      <c r="G23" s="2">
        <f t="shared" si="1"/>
        <v>80</v>
      </c>
      <c r="H23" s="2">
        <f t="shared" si="1"/>
        <v>-3.9582418054351365E-7</v>
      </c>
      <c r="I23" s="1" t="str">
        <f t="shared" si="2"/>
        <v>b,c</v>
      </c>
    </row>
    <row r="24" spans="2:9" x14ac:dyDescent="0.3">
      <c r="B24" s="1">
        <v>19</v>
      </c>
      <c r="C24" s="2">
        <f t="shared" si="3"/>
        <v>2.9999999670146513</v>
      </c>
      <c r="D24" s="2">
        <f t="shared" si="4"/>
        <v>7</v>
      </c>
      <c r="E24" s="2">
        <f t="shared" si="0"/>
        <v>2.9999999868058609</v>
      </c>
      <c r="F24" s="2">
        <f t="shared" si="1"/>
        <v>-3.9582418054351365E-7</v>
      </c>
      <c r="G24" s="2">
        <f t="shared" si="1"/>
        <v>80</v>
      </c>
      <c r="H24" s="2">
        <f t="shared" si="1"/>
        <v>-1.5832966937523452E-7</v>
      </c>
      <c r="I24" s="1" t="str">
        <f t="shared" si="2"/>
        <v>b,c</v>
      </c>
    </row>
    <row r="25" spans="2:9" x14ac:dyDescent="0.3">
      <c r="B25" s="1"/>
      <c r="C25" s="2"/>
      <c r="D25" s="2"/>
      <c r="E25" s="2"/>
      <c r="F25" s="2"/>
      <c r="G25" s="2"/>
      <c r="H25" s="2"/>
      <c r="I25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49294-9F3F-40B6-9920-9DCB01FDF336}">
  <dimension ref="B2:N25"/>
  <sheetViews>
    <sheetView tabSelected="1" workbookViewId="0">
      <selection activeCell="F16" sqref="F16"/>
    </sheetView>
  </sheetViews>
  <sheetFormatPr defaultRowHeight="14.4" x14ac:dyDescent="0.3"/>
  <cols>
    <col min="2" max="2" width="10.109375" bestFit="1" customWidth="1"/>
    <col min="5" max="5" width="15" bestFit="1" customWidth="1"/>
  </cols>
  <sheetData>
    <row r="2" spans="2:14" x14ac:dyDescent="0.3">
      <c r="B2" s="18" t="s">
        <v>15</v>
      </c>
      <c r="C2" s="19">
        <v>5.0000000000000001E-3</v>
      </c>
    </row>
    <row r="3" spans="2:14" x14ac:dyDescent="0.3">
      <c r="H3" s="12"/>
    </row>
    <row r="4" spans="2:14" ht="15.6" x14ac:dyDescent="0.3">
      <c r="B4" s="14" t="s">
        <v>0</v>
      </c>
      <c r="C4" s="15" t="s">
        <v>11</v>
      </c>
      <c r="D4" s="14" t="s">
        <v>12</v>
      </c>
      <c r="E4" s="18" t="s">
        <v>14</v>
      </c>
      <c r="H4" s="13" t="s">
        <v>8</v>
      </c>
      <c r="I4" s="4"/>
      <c r="J4" s="4"/>
      <c r="K4" s="4"/>
      <c r="L4" s="4"/>
      <c r="M4" s="4"/>
      <c r="N4" s="5"/>
    </row>
    <row r="5" spans="2:14" ht="18" x14ac:dyDescent="0.4">
      <c r="B5" s="1">
        <v>0</v>
      </c>
      <c r="C5" s="16">
        <v>2</v>
      </c>
      <c r="D5" s="2">
        <f t="shared" ref="D5:D14" si="0">((2*((C5)*(C5)))-18)</f>
        <v>-10</v>
      </c>
      <c r="E5" t="str">
        <f>IF(ABS(D5)&lt;$C$2, "ROOT FOUND", "KEEP LOOKING")</f>
        <v>KEEP LOOKING</v>
      </c>
      <c r="H5" s="6" t="s">
        <v>28</v>
      </c>
      <c r="I5" s="7"/>
      <c r="J5" s="7"/>
      <c r="K5" s="7"/>
      <c r="L5" s="7"/>
      <c r="M5" s="7"/>
      <c r="N5" s="8"/>
    </row>
    <row r="6" spans="2:14" ht="15.6" x14ac:dyDescent="0.35">
      <c r="B6" s="1">
        <v>1</v>
      </c>
      <c r="C6" s="16">
        <v>7</v>
      </c>
      <c r="D6" s="2">
        <f t="shared" si="0"/>
        <v>80</v>
      </c>
      <c r="E6" t="str">
        <f t="shared" ref="E6:E14" si="1">IF(ABS(D6)&lt;$C$2, "ROOT FOUND", "KEEP LOOKING")</f>
        <v>KEEP LOOKING</v>
      </c>
      <c r="H6" s="6" t="s">
        <v>13</v>
      </c>
      <c r="I6" s="7"/>
      <c r="J6" s="7"/>
      <c r="K6" s="7"/>
      <c r="L6" s="7"/>
      <c r="M6" s="7"/>
      <c r="N6" s="8"/>
    </row>
    <row r="7" spans="2:14" ht="15.6" x14ac:dyDescent="0.35">
      <c r="B7" s="1">
        <v>2</v>
      </c>
      <c r="C7" s="16">
        <f t="shared" ref="C7:C14" si="2">((C5*D6)-(C6*D5))/(D6-D5)</f>
        <v>2.5555555555555554</v>
      </c>
      <c r="D7" s="2">
        <f t="shared" si="0"/>
        <v>-4.938271604938274</v>
      </c>
      <c r="E7" t="str">
        <f t="shared" si="1"/>
        <v>KEEP LOOKING</v>
      </c>
      <c r="H7" s="6" t="s">
        <v>26</v>
      </c>
      <c r="I7" s="7"/>
      <c r="J7" s="7"/>
      <c r="K7" s="7"/>
      <c r="L7" s="7"/>
      <c r="M7" s="7"/>
      <c r="N7" s="8"/>
    </row>
    <row r="8" spans="2:14" ht="15.6" x14ac:dyDescent="0.35">
      <c r="B8" s="1">
        <v>3</v>
      </c>
      <c r="C8" s="16">
        <f t="shared" si="2"/>
        <v>2.8139534883720927</v>
      </c>
      <c r="D8" s="2">
        <f t="shared" si="0"/>
        <v>-2.1633315305570608</v>
      </c>
      <c r="E8" t="str">
        <f t="shared" si="1"/>
        <v>KEEP LOOKING</v>
      </c>
      <c r="H8" s="6" t="s">
        <v>17</v>
      </c>
      <c r="I8" s="7"/>
      <c r="J8" s="7"/>
      <c r="K8" s="7"/>
      <c r="L8" s="7"/>
      <c r="M8" s="7"/>
      <c r="N8" s="8"/>
    </row>
    <row r="9" spans="2:14" x14ac:dyDescent="0.3">
      <c r="B9" s="1">
        <v>4</v>
      </c>
      <c r="C9" s="16">
        <f t="shared" si="2"/>
        <v>3.0153994225216549</v>
      </c>
      <c r="D9" s="2">
        <f t="shared" si="0"/>
        <v>0.18526735468785915</v>
      </c>
      <c r="E9" t="str">
        <f t="shared" si="1"/>
        <v>KEEP LOOKING</v>
      </c>
      <c r="H9" s="6"/>
      <c r="I9" s="7"/>
      <c r="J9" s="7"/>
      <c r="K9" s="7"/>
      <c r="L9" s="7"/>
      <c r="M9" s="7"/>
      <c r="N9" s="8"/>
    </row>
    <row r="10" spans="2:14" x14ac:dyDescent="0.3">
      <c r="B10" s="1">
        <v>5</v>
      </c>
      <c r="C10" s="16">
        <f t="shared" si="2"/>
        <v>2.9995085202620202</v>
      </c>
      <c r="D10" s="2">
        <f t="shared" si="0"/>
        <v>-5.8972737510920581E-3</v>
      </c>
      <c r="E10" t="str">
        <f t="shared" si="1"/>
        <v>KEEP LOOKING</v>
      </c>
      <c r="H10" s="6"/>
      <c r="I10" s="7"/>
      <c r="J10" s="7"/>
      <c r="K10" s="7"/>
      <c r="L10" s="7"/>
      <c r="M10" s="7"/>
      <c r="N10" s="8"/>
    </row>
    <row r="11" spans="2:14" x14ac:dyDescent="0.3">
      <c r="B11" s="1">
        <v>6</v>
      </c>
      <c r="C11" s="16">
        <f t="shared" si="2"/>
        <v>2.9999987417090641</v>
      </c>
      <c r="D11" s="102">
        <f t="shared" si="0"/>
        <v>-1.5099488063441413E-5</v>
      </c>
      <c r="E11" t="str">
        <f t="shared" si="1"/>
        <v>ROOT FOUND</v>
      </c>
      <c r="H11" s="6"/>
      <c r="I11" s="7"/>
      <c r="J11" s="7"/>
      <c r="K11" s="7"/>
      <c r="L11" s="7"/>
      <c r="M11" s="7"/>
      <c r="N11" s="8"/>
    </row>
    <row r="12" spans="2:14" x14ac:dyDescent="0.3">
      <c r="B12" s="1">
        <v>7</v>
      </c>
      <c r="C12" s="16">
        <f t="shared" si="2"/>
        <v>3.0000000001030793</v>
      </c>
      <c r="D12" s="2">
        <f t="shared" si="0"/>
        <v>1.2369518742616492E-9</v>
      </c>
      <c r="E12" t="str">
        <f t="shared" si="1"/>
        <v>ROOT FOUND</v>
      </c>
      <c r="H12" s="9"/>
      <c r="I12" s="10"/>
      <c r="J12" s="10"/>
      <c r="K12" s="10"/>
      <c r="L12" s="10"/>
      <c r="M12" s="10"/>
      <c r="N12" s="11"/>
    </row>
    <row r="13" spans="2:14" x14ac:dyDescent="0.3">
      <c r="B13" s="1">
        <v>8</v>
      </c>
      <c r="C13" s="16">
        <f t="shared" si="2"/>
        <v>3</v>
      </c>
      <c r="D13" s="2">
        <f t="shared" si="0"/>
        <v>0</v>
      </c>
      <c r="E13" t="str">
        <f t="shared" si="1"/>
        <v>ROOT FOUND</v>
      </c>
    </row>
    <row r="14" spans="2:14" x14ac:dyDescent="0.3">
      <c r="B14" s="1">
        <v>9</v>
      </c>
      <c r="C14" s="16">
        <f t="shared" si="2"/>
        <v>3</v>
      </c>
      <c r="D14" s="2">
        <f t="shared" si="0"/>
        <v>0</v>
      </c>
      <c r="E14" t="str">
        <f t="shared" si="1"/>
        <v>ROOT FOUND</v>
      </c>
    </row>
    <row r="15" spans="2:14" x14ac:dyDescent="0.3">
      <c r="B15" s="1"/>
      <c r="C15" s="2"/>
      <c r="D15" s="2"/>
    </row>
    <row r="16" spans="2:14" x14ac:dyDescent="0.3">
      <c r="B16" s="1"/>
      <c r="C16" s="2"/>
      <c r="D16" s="2"/>
    </row>
    <row r="17" spans="2:4" x14ac:dyDescent="0.3">
      <c r="B17" s="1"/>
      <c r="C17" s="2"/>
      <c r="D17" s="2"/>
    </row>
    <row r="18" spans="2:4" x14ac:dyDescent="0.3">
      <c r="B18" s="1"/>
      <c r="C18" s="2"/>
      <c r="D18" s="2"/>
    </row>
    <row r="19" spans="2:4" x14ac:dyDescent="0.3">
      <c r="B19" s="1"/>
      <c r="C19" s="2"/>
      <c r="D19" s="2"/>
    </row>
    <row r="20" spans="2:4" x14ac:dyDescent="0.3">
      <c r="B20" s="1"/>
      <c r="C20" s="2"/>
      <c r="D20" s="2"/>
    </row>
    <row r="21" spans="2:4" x14ac:dyDescent="0.3">
      <c r="B21" s="1"/>
      <c r="C21" s="2"/>
      <c r="D21" s="2"/>
    </row>
    <row r="22" spans="2:4" x14ac:dyDescent="0.3">
      <c r="B22" s="1"/>
      <c r="C22" s="2"/>
      <c r="D22" s="2"/>
    </row>
    <row r="23" spans="2:4" x14ac:dyDescent="0.3">
      <c r="B23" s="1"/>
      <c r="C23" s="2"/>
      <c r="D23" s="2"/>
    </row>
    <row r="24" spans="2:4" x14ac:dyDescent="0.3">
      <c r="B24" s="1"/>
      <c r="C24" s="2"/>
      <c r="D24" s="2"/>
    </row>
    <row r="25" spans="2:4" x14ac:dyDescent="0.3">
      <c r="B25" s="1"/>
      <c r="C25" s="2"/>
      <c r="D25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93EBB-90C3-401A-B8FD-633587EAA8B3}">
  <dimension ref="B2:O19"/>
  <sheetViews>
    <sheetView workbookViewId="0">
      <selection activeCell="F16" sqref="F16"/>
    </sheetView>
  </sheetViews>
  <sheetFormatPr defaultRowHeight="14.4" x14ac:dyDescent="0.3"/>
  <cols>
    <col min="2" max="2" width="10.109375" bestFit="1" customWidth="1"/>
    <col min="6" max="6" width="15" bestFit="1" customWidth="1"/>
  </cols>
  <sheetData>
    <row r="2" spans="2:15" x14ac:dyDescent="0.3">
      <c r="B2" s="18" t="s">
        <v>15</v>
      </c>
      <c r="C2" s="19">
        <v>5.0000000000000001E-3</v>
      </c>
    </row>
    <row r="3" spans="2:15" x14ac:dyDescent="0.3">
      <c r="I3" s="12"/>
    </row>
    <row r="4" spans="2:15" ht="15.6" x14ac:dyDescent="0.3">
      <c r="B4" s="14" t="s">
        <v>0</v>
      </c>
      <c r="C4" s="15" t="s">
        <v>18</v>
      </c>
      <c r="D4" s="14" t="s">
        <v>19</v>
      </c>
      <c r="E4" s="14" t="s">
        <v>20</v>
      </c>
      <c r="F4" s="18" t="s">
        <v>14</v>
      </c>
      <c r="I4" s="13" t="s">
        <v>8</v>
      </c>
      <c r="J4" s="4"/>
      <c r="K4" s="4"/>
      <c r="L4" s="4"/>
      <c r="M4" s="4"/>
      <c r="N4" s="4"/>
      <c r="O4" s="5"/>
    </row>
    <row r="5" spans="2:15" ht="18" x14ac:dyDescent="0.4">
      <c r="B5" s="20">
        <v>0</v>
      </c>
      <c r="C5" s="21">
        <v>2.6</v>
      </c>
      <c r="D5" s="21">
        <f>C5^2-2*C5-1</f>
        <v>0.5600000000000005</v>
      </c>
      <c r="E5" s="21">
        <f>(2*C5)-2</f>
        <v>3.2</v>
      </c>
      <c r="F5" t="str">
        <f>IF(ABS(D5)&lt;$C$2, "ROOT FOUND", "KEEP LOOKING")</f>
        <v>KEEP LOOKING</v>
      </c>
      <c r="I5" s="6" t="s">
        <v>21</v>
      </c>
      <c r="J5" s="7"/>
      <c r="K5" s="7"/>
      <c r="L5" s="7"/>
      <c r="M5" s="7"/>
      <c r="N5" s="7"/>
      <c r="O5" s="8"/>
    </row>
    <row r="6" spans="2:15" x14ac:dyDescent="0.3">
      <c r="B6" s="20">
        <v>1</v>
      </c>
      <c r="C6" s="21">
        <f>C5-(D5/E5)</f>
        <v>2.4249999999999998</v>
      </c>
      <c r="D6" s="21">
        <f>C6^2-2*C6-1</f>
        <v>3.062499999999968E-2</v>
      </c>
      <c r="E6" s="21">
        <f>(2*C6)-2</f>
        <v>2.8499999999999996</v>
      </c>
      <c r="F6" t="str">
        <f t="shared" ref="F6:F8" si="0">IF(ABS(D6)&lt;$C$2, "ROOT FOUND", "KEEP LOOKING")</f>
        <v>KEEP LOOKING</v>
      </c>
      <c r="I6" s="6" t="s">
        <v>23</v>
      </c>
      <c r="J6" s="7"/>
      <c r="K6" s="7"/>
      <c r="L6" s="7"/>
      <c r="M6" s="7"/>
      <c r="N6" s="7"/>
      <c r="O6" s="8"/>
    </row>
    <row r="7" spans="2:15" x14ac:dyDescent="0.3">
      <c r="B7" s="20">
        <v>2</v>
      </c>
      <c r="C7" s="21">
        <f>C6-(D6/E6)</f>
        <v>2.4142543859649122</v>
      </c>
      <c r="D7" s="21">
        <f>C7^2-2*C7-1</f>
        <v>1.1546822099095522E-4</v>
      </c>
      <c r="E7" s="21">
        <f>(2*C7)-2</f>
        <v>2.8285087719298243</v>
      </c>
      <c r="F7" t="str">
        <f t="shared" si="0"/>
        <v>ROOT FOUND</v>
      </c>
      <c r="I7" s="6" t="s">
        <v>24</v>
      </c>
      <c r="J7" s="7"/>
      <c r="K7" s="7"/>
      <c r="L7" s="7"/>
      <c r="M7" s="7"/>
      <c r="N7" s="7"/>
      <c r="O7" s="8"/>
    </row>
    <row r="8" spans="2:15" x14ac:dyDescent="0.3">
      <c r="B8" s="20">
        <v>3</v>
      </c>
      <c r="C8" s="21">
        <f>C7-(D7/E7)</f>
        <v>2.4142135629622978</v>
      </c>
      <c r="D8" s="21">
        <f>C8^2-2*C8-1</f>
        <v>1.6665167024143557E-9</v>
      </c>
      <c r="E8" s="21">
        <f>(2*C8)-2</f>
        <v>2.8284271259245957</v>
      </c>
      <c r="F8" t="str">
        <f t="shared" si="0"/>
        <v>ROOT FOUND</v>
      </c>
      <c r="I8" s="6" t="s">
        <v>25</v>
      </c>
      <c r="J8" s="7"/>
      <c r="K8" s="7"/>
      <c r="L8" s="7"/>
      <c r="M8" s="7"/>
      <c r="N8" s="7"/>
      <c r="O8" s="8"/>
    </row>
    <row r="9" spans="2:15" ht="15.6" x14ac:dyDescent="0.35">
      <c r="B9" s="1"/>
      <c r="C9" s="2"/>
      <c r="D9" s="2"/>
      <c r="E9" s="2"/>
      <c r="I9" s="6" t="s">
        <v>22</v>
      </c>
      <c r="J9" s="7"/>
      <c r="K9" s="7"/>
      <c r="L9" s="7"/>
      <c r="M9" s="7"/>
      <c r="N9" s="7"/>
      <c r="O9" s="8"/>
    </row>
    <row r="10" spans="2:15" x14ac:dyDescent="0.3">
      <c r="B10" s="1"/>
      <c r="C10" s="2"/>
      <c r="D10" s="2"/>
      <c r="E10" s="2"/>
      <c r="I10" s="6"/>
      <c r="J10" s="7"/>
      <c r="K10" s="7"/>
      <c r="L10" s="7"/>
      <c r="M10" s="7"/>
      <c r="N10" s="7"/>
      <c r="O10" s="8"/>
    </row>
    <row r="11" spans="2:15" x14ac:dyDescent="0.3">
      <c r="B11" s="1"/>
      <c r="C11" s="2"/>
      <c r="D11" s="2"/>
      <c r="E11" s="2"/>
      <c r="I11" s="6"/>
      <c r="J11" s="7"/>
      <c r="K11" s="7"/>
      <c r="L11" s="7"/>
      <c r="M11" s="7"/>
      <c r="N11" s="7"/>
      <c r="O11" s="8"/>
    </row>
    <row r="12" spans="2:15" x14ac:dyDescent="0.3">
      <c r="B12" s="1"/>
      <c r="C12" s="2"/>
      <c r="D12" s="2"/>
      <c r="E12" s="2"/>
      <c r="I12" s="6"/>
      <c r="J12" s="7"/>
      <c r="K12" s="7"/>
      <c r="L12" s="7"/>
      <c r="M12" s="7"/>
      <c r="N12" s="7"/>
      <c r="O12" s="8"/>
    </row>
    <row r="13" spans="2:15" x14ac:dyDescent="0.3">
      <c r="B13" s="1"/>
      <c r="C13" s="2"/>
      <c r="D13" s="2"/>
      <c r="E13" s="2"/>
      <c r="I13" s="9"/>
      <c r="J13" s="10"/>
      <c r="K13" s="10"/>
      <c r="L13" s="10"/>
      <c r="M13" s="10"/>
      <c r="N13" s="10"/>
      <c r="O13" s="11"/>
    </row>
    <row r="14" spans="2:15" x14ac:dyDescent="0.3">
      <c r="B14" s="1"/>
      <c r="C14" s="2"/>
      <c r="D14" s="2"/>
      <c r="E14" s="2"/>
    </row>
    <row r="15" spans="2:15" x14ac:dyDescent="0.3">
      <c r="B15" s="1"/>
      <c r="C15" s="2"/>
      <c r="D15" s="2"/>
      <c r="E15" s="2"/>
    </row>
    <row r="16" spans="2:15" x14ac:dyDescent="0.3">
      <c r="B16" s="1"/>
      <c r="C16" s="2"/>
      <c r="D16" s="2"/>
      <c r="E16" s="2"/>
    </row>
    <row r="17" spans="2:5" x14ac:dyDescent="0.3">
      <c r="B17" s="1"/>
      <c r="C17" s="2"/>
      <c r="D17" s="2"/>
      <c r="E17" s="2"/>
    </row>
    <row r="18" spans="2:5" x14ac:dyDescent="0.3">
      <c r="B18" s="1"/>
      <c r="C18" s="2"/>
      <c r="D18" s="2"/>
      <c r="E18" s="2"/>
    </row>
    <row r="19" spans="2:5" x14ac:dyDescent="0.3">
      <c r="B19" s="1"/>
      <c r="C19" s="2"/>
      <c r="D19" s="2"/>
      <c r="E19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A50B7-BE0A-43AA-971F-7EAD27961096}">
  <dimension ref="A2:R21"/>
  <sheetViews>
    <sheetView zoomScale="125" zoomScaleNormal="125" workbookViewId="0">
      <selection activeCell="I4" sqref="I4"/>
    </sheetView>
  </sheetViews>
  <sheetFormatPr defaultColWidth="12.44140625" defaultRowHeight="15.6" x14ac:dyDescent="0.3"/>
  <cols>
    <col min="1" max="16384" width="12.44140625" style="25"/>
  </cols>
  <sheetData>
    <row r="2" spans="1:18" x14ac:dyDescent="0.3">
      <c r="B2" s="33" t="s">
        <v>34</v>
      </c>
      <c r="C2" s="33"/>
      <c r="L2" s="36" t="s">
        <v>8</v>
      </c>
      <c r="M2" s="4"/>
      <c r="N2" s="4"/>
      <c r="O2" s="4"/>
      <c r="P2" s="4"/>
      <c r="Q2" s="4"/>
      <c r="R2" s="5"/>
    </row>
    <row r="3" spans="1:18" x14ac:dyDescent="0.3">
      <c r="C3" s="35" t="s">
        <v>36</v>
      </c>
      <c r="D3" s="34"/>
      <c r="E3" s="34"/>
      <c r="F3" s="35" t="s">
        <v>37</v>
      </c>
      <c r="H3" s="35" t="s">
        <v>31</v>
      </c>
      <c r="L3" s="6" t="s">
        <v>40</v>
      </c>
      <c r="M3" s="7"/>
      <c r="N3" s="7"/>
      <c r="O3" s="7"/>
      <c r="P3" s="7"/>
      <c r="Q3" s="7"/>
      <c r="R3" s="8"/>
    </row>
    <row r="4" spans="1:18" x14ac:dyDescent="0.3">
      <c r="B4" s="42">
        <v>3</v>
      </c>
      <c r="C4" s="34">
        <v>2</v>
      </c>
      <c r="D4" s="43">
        <v>-1</v>
      </c>
      <c r="E4" s="34"/>
      <c r="F4" s="46">
        <v>0.1</v>
      </c>
      <c r="G4" s="34"/>
      <c r="H4" s="34">
        <f>(B4*$F$4)+(C4*$F$5)+(D4*$F$6)</f>
        <v>0.10000000000000009</v>
      </c>
      <c r="L4" s="6"/>
      <c r="M4" s="7"/>
      <c r="N4" s="7"/>
      <c r="O4" s="7"/>
      <c r="P4" s="7"/>
      <c r="Q4" s="7"/>
      <c r="R4" s="8"/>
    </row>
    <row r="5" spans="1:18" x14ac:dyDescent="0.3">
      <c r="B5" s="42">
        <v>1</v>
      </c>
      <c r="C5" s="34">
        <v>-2</v>
      </c>
      <c r="D5" s="43">
        <v>3</v>
      </c>
      <c r="E5" s="34"/>
      <c r="F5" s="46">
        <v>0.4</v>
      </c>
      <c r="G5" s="34" t="s">
        <v>35</v>
      </c>
      <c r="H5" s="34">
        <f>(B5*$F$4)+(C5*$F$5)+(D5*$F$6)</f>
        <v>2.2999999999999998</v>
      </c>
      <c r="L5" s="6"/>
      <c r="M5" s="7"/>
      <c r="N5" s="7"/>
      <c r="O5" s="7"/>
      <c r="P5" s="7"/>
      <c r="Q5" s="7"/>
      <c r="R5" s="8"/>
    </row>
    <row r="6" spans="1:18" x14ac:dyDescent="0.3">
      <c r="B6" s="42">
        <v>2</v>
      </c>
      <c r="C6" s="34">
        <v>0</v>
      </c>
      <c r="D6" s="43">
        <v>4</v>
      </c>
      <c r="E6" s="34"/>
      <c r="F6" s="46">
        <v>1</v>
      </c>
      <c r="G6" s="34"/>
      <c r="H6" s="34">
        <f>(B6*$F$4)+(C6*$F$5)+(D6*$F$6)</f>
        <v>4.2</v>
      </c>
      <c r="L6" s="6"/>
      <c r="M6" s="7"/>
      <c r="N6" s="7"/>
      <c r="O6" s="7"/>
      <c r="P6" s="7"/>
      <c r="Q6" s="7"/>
      <c r="R6" s="8"/>
    </row>
    <row r="7" spans="1:18" x14ac:dyDescent="0.3">
      <c r="L7" s="6"/>
      <c r="M7" s="7"/>
      <c r="N7" s="7"/>
      <c r="O7" s="7"/>
      <c r="P7" s="7"/>
      <c r="Q7" s="7"/>
      <c r="R7" s="8"/>
    </row>
    <row r="8" spans="1:18" x14ac:dyDescent="0.3">
      <c r="L8" s="6"/>
      <c r="M8" s="7"/>
      <c r="N8" s="7"/>
      <c r="O8" s="7"/>
      <c r="P8" s="7"/>
      <c r="Q8" s="7"/>
      <c r="R8" s="8"/>
    </row>
    <row r="9" spans="1:18" x14ac:dyDescent="0.3">
      <c r="L9" s="6"/>
      <c r="M9" s="7"/>
      <c r="N9" s="7"/>
      <c r="O9" s="7"/>
      <c r="P9" s="7"/>
      <c r="Q9" s="7"/>
      <c r="R9" s="8"/>
    </row>
    <row r="10" spans="1:18" x14ac:dyDescent="0.3">
      <c r="L10" s="6"/>
      <c r="M10" s="7"/>
      <c r="N10" s="7"/>
      <c r="O10" s="7"/>
      <c r="P10" s="7"/>
      <c r="Q10" s="7"/>
      <c r="R10" s="8"/>
    </row>
    <row r="11" spans="1:18" x14ac:dyDescent="0.3">
      <c r="A11" s="22" t="s">
        <v>29</v>
      </c>
      <c r="B11" s="99" t="s">
        <v>30</v>
      </c>
      <c r="C11" s="99"/>
      <c r="D11" s="99"/>
      <c r="E11" s="100" t="s">
        <v>31</v>
      </c>
      <c r="F11" s="100"/>
      <c r="G11" s="100"/>
      <c r="H11" s="23" t="s">
        <v>32</v>
      </c>
      <c r="I11" s="24" t="s">
        <v>33</v>
      </c>
      <c r="J11" s="22" t="s">
        <v>38</v>
      </c>
      <c r="L11" s="9"/>
      <c r="M11" s="10"/>
      <c r="N11" s="10"/>
      <c r="O11" s="10"/>
      <c r="P11" s="10"/>
      <c r="Q11" s="10"/>
      <c r="R11" s="11"/>
    </row>
    <row r="12" spans="1:18" x14ac:dyDescent="0.3">
      <c r="A12" s="26">
        <v>0</v>
      </c>
      <c r="B12" s="27">
        <v>0.1</v>
      </c>
      <c r="C12" s="27">
        <v>0.4</v>
      </c>
      <c r="D12" s="27">
        <v>1</v>
      </c>
      <c r="E12" s="28">
        <f>($B$4*$B12)+($C$4*$C12)+($D$4*$D12)</f>
        <v>0.10000000000000009</v>
      </c>
      <c r="F12" s="28">
        <f>($B$5*$B12)+($C$5*$C12)+($D$5*$D12)</f>
        <v>2.2999999999999998</v>
      </c>
      <c r="G12" s="28">
        <f>($B$6*$B12)+($C$6*$C12)+($D$6*$D12)</f>
        <v>4.2</v>
      </c>
      <c r="H12" s="29">
        <f>IF(MAX(E12:G12)&lt;ABS(MIN(E12:G12)), MIN(E12:G12), MAX(E12:G12))</f>
        <v>4.2</v>
      </c>
      <c r="I12" s="30">
        <f t="shared" ref="I12:I20" si="0">H13-H12</f>
        <v>-0.15238095238095273</v>
      </c>
      <c r="J12" s="31">
        <f>(B13-B12)+(C13-C12)+(D13-D12)</f>
        <v>7.1428571428571369E-2</v>
      </c>
    </row>
    <row r="13" spans="1:18" x14ac:dyDescent="0.3">
      <c r="A13" s="26">
        <v>1</v>
      </c>
      <c r="B13" s="32">
        <f>E12/$H12</f>
        <v>2.3809523809523829E-2</v>
      </c>
      <c r="C13" s="32">
        <f t="shared" ref="B13:D14" si="1">F12/$H12</f>
        <v>0.54761904761904756</v>
      </c>
      <c r="D13" s="32">
        <f t="shared" si="1"/>
        <v>1</v>
      </c>
      <c r="E13" s="37">
        <f>($B$4*$B13)+($C$4*$C13)+($D$4*$D13)</f>
        <v>0.16666666666666652</v>
      </c>
      <c r="F13" s="37">
        <f>($B$5*$B13)+($C$5*$C13)+($D$5*$D13)</f>
        <v>1.9285714285714286</v>
      </c>
      <c r="G13" s="37">
        <f>($B$6*$B13)+($C$6*$C13)+($D$6*$D13)</f>
        <v>4.0476190476190474</v>
      </c>
      <c r="H13" s="29">
        <f t="shared" ref="H13:H21" si="2">IF(MAX(E13:G13)&lt;ABS(MIN(E13:G13)), MIN(E13:G13), MAX(E13:G13))</f>
        <v>4.0476190476190474</v>
      </c>
      <c r="I13" s="30">
        <f t="shared" si="0"/>
        <v>3.6380952380952181E-2</v>
      </c>
      <c r="J13" s="31">
        <f t="shared" ref="J13:J20" si="3">(B14-B13)+(C14-C13)+(D14-D13)</f>
        <v>-5.3781512605041985E-2</v>
      </c>
    </row>
    <row r="14" spans="1:18" x14ac:dyDescent="0.3">
      <c r="A14" s="26">
        <v>2</v>
      </c>
      <c r="B14" s="32">
        <f t="shared" si="1"/>
        <v>4.1176470588235259E-2</v>
      </c>
      <c r="C14" s="32">
        <f t="shared" si="1"/>
        <v>0.47647058823529415</v>
      </c>
      <c r="D14" s="32">
        <f t="shared" si="1"/>
        <v>1</v>
      </c>
      <c r="E14" s="28">
        <v>7.8E-2</v>
      </c>
      <c r="F14" s="28">
        <v>2.09</v>
      </c>
      <c r="G14" s="28">
        <v>4.0839999999999996</v>
      </c>
      <c r="H14" s="29">
        <f t="shared" si="2"/>
        <v>4.0839999999999996</v>
      </c>
      <c r="I14" s="30">
        <f t="shared" si="0"/>
        <v>-4.5999999999999375E-2</v>
      </c>
      <c r="J14" s="31">
        <f t="shared" si="3"/>
        <v>1.3205046955118999E-2</v>
      </c>
    </row>
    <row r="15" spans="1:18" x14ac:dyDescent="0.3">
      <c r="A15" s="26">
        <v>3</v>
      </c>
      <c r="B15" s="32">
        <f t="shared" ref="B15:B21" si="4">E14/H14</f>
        <v>1.9098922624877574E-2</v>
      </c>
      <c r="C15" s="32">
        <f t="shared" ref="C15:C21" si="5">F14/H14</f>
        <v>0.51175318315377083</v>
      </c>
      <c r="D15" s="32">
        <f t="shared" ref="D15:D21" si="6">G14/H14</f>
        <v>1</v>
      </c>
      <c r="E15" s="28">
        <v>8.1000000000000003E-2</v>
      </c>
      <c r="F15" s="28">
        <v>1.9950000000000001</v>
      </c>
      <c r="G15" s="28">
        <v>4.0380000000000003</v>
      </c>
      <c r="H15" s="29">
        <f t="shared" si="2"/>
        <v>4.0380000000000003</v>
      </c>
      <c r="I15" s="30">
        <f t="shared" si="0"/>
        <v>1.9999999999997797E-3</v>
      </c>
      <c r="J15" s="31">
        <f t="shared" si="3"/>
        <v>-1.6736206818767255E-2</v>
      </c>
    </row>
    <row r="16" spans="1:18" x14ac:dyDescent="0.3">
      <c r="A16" s="26">
        <v>4</v>
      </c>
      <c r="B16" s="32">
        <f t="shared" si="4"/>
        <v>2.0059435364041603E-2</v>
      </c>
      <c r="C16" s="32">
        <f t="shared" si="5"/>
        <v>0.49405646359583955</v>
      </c>
      <c r="D16" s="32">
        <f t="shared" si="6"/>
        <v>1</v>
      </c>
      <c r="E16" s="28">
        <v>4.8000000000000001E-2</v>
      </c>
      <c r="F16" s="28">
        <v>2.032</v>
      </c>
      <c r="G16" s="28">
        <v>4.04</v>
      </c>
      <c r="H16" s="29">
        <f t="shared" si="2"/>
        <v>4.04</v>
      </c>
      <c r="I16" s="30">
        <f t="shared" si="0"/>
        <v>-1.6000000000000014E-2</v>
      </c>
      <c r="J16" s="31">
        <f t="shared" si="3"/>
        <v>7.3558618863370576E-4</v>
      </c>
    </row>
    <row r="17" spans="1:10" x14ac:dyDescent="0.3">
      <c r="A17" s="26">
        <v>5</v>
      </c>
      <c r="B17" s="32">
        <f t="shared" si="4"/>
        <v>1.1881188118811881E-2</v>
      </c>
      <c r="C17" s="32">
        <f t="shared" si="5"/>
        <v>0.50297029702970297</v>
      </c>
      <c r="D17" s="32">
        <f t="shared" si="6"/>
        <v>1</v>
      </c>
      <c r="E17" s="28">
        <v>4.2000000000000003E-2</v>
      </c>
      <c r="F17" s="28">
        <v>2.0059999999999998</v>
      </c>
      <c r="G17" s="28">
        <v>4.024</v>
      </c>
      <c r="H17" s="29">
        <f t="shared" si="2"/>
        <v>4.024</v>
      </c>
      <c r="I17" s="30">
        <f t="shared" si="0"/>
        <v>-4.0000000000004476E-3</v>
      </c>
      <c r="J17" s="31">
        <f t="shared" si="3"/>
        <v>-5.9051630809204662E-3</v>
      </c>
    </row>
    <row r="18" spans="1:10" x14ac:dyDescent="0.3">
      <c r="A18" s="26">
        <v>6</v>
      </c>
      <c r="B18" s="32">
        <f t="shared" si="4"/>
        <v>1.043737574552684E-2</v>
      </c>
      <c r="C18" s="32">
        <f t="shared" si="5"/>
        <v>0.49850894632206755</v>
      </c>
      <c r="D18" s="32">
        <f t="shared" si="6"/>
        <v>1</v>
      </c>
      <c r="E18" s="28">
        <v>2.8000000000000001E-2</v>
      </c>
      <c r="F18" s="28">
        <v>2.012</v>
      </c>
      <c r="G18" s="28">
        <v>4.0199999999999996</v>
      </c>
      <c r="H18" s="29">
        <f t="shared" si="2"/>
        <v>4.0199999999999996</v>
      </c>
      <c r="I18" s="30">
        <f t="shared" si="0"/>
        <v>-5.9999999999993392E-3</v>
      </c>
      <c r="J18" s="31">
        <f t="shared" si="3"/>
        <v>-1.4836355004301102E-3</v>
      </c>
    </row>
    <row r="19" spans="1:10" x14ac:dyDescent="0.3">
      <c r="A19" s="26">
        <v>7</v>
      </c>
      <c r="B19" s="32">
        <f t="shared" si="4"/>
        <v>6.9651741293532349E-3</v>
      </c>
      <c r="C19" s="32">
        <f t="shared" si="5"/>
        <v>0.50049751243781104</v>
      </c>
      <c r="D19" s="32">
        <f t="shared" si="6"/>
        <v>1</v>
      </c>
      <c r="E19" s="28">
        <v>2.1000000000000001E-2</v>
      </c>
      <c r="F19" s="28">
        <v>2.0070000000000001</v>
      </c>
      <c r="G19" s="28">
        <v>4.0140000000000002</v>
      </c>
      <c r="H19" s="29">
        <f t="shared" si="2"/>
        <v>4.0140000000000002</v>
      </c>
      <c r="I19" s="30">
        <f t="shared" si="0"/>
        <v>-4.0000000000004476E-3</v>
      </c>
      <c r="J19" s="31">
        <f t="shared" si="3"/>
        <v>-2.2309974789729474E-3</v>
      </c>
    </row>
    <row r="20" spans="1:10" x14ac:dyDescent="0.3">
      <c r="A20" s="26">
        <v>8</v>
      </c>
      <c r="B20" s="32">
        <f t="shared" si="4"/>
        <v>5.2316890881913304E-3</v>
      </c>
      <c r="C20" s="32">
        <f t="shared" si="5"/>
        <v>0.5</v>
      </c>
      <c r="D20" s="32">
        <f t="shared" si="6"/>
        <v>1</v>
      </c>
      <c r="E20" s="28">
        <v>1.4999999999999999E-2</v>
      </c>
      <c r="F20" s="28">
        <v>2.0049999999999999</v>
      </c>
      <c r="G20" s="28">
        <v>4.01</v>
      </c>
      <c r="H20" s="29">
        <f t="shared" si="2"/>
        <v>4.01</v>
      </c>
      <c r="I20" s="30">
        <f t="shared" si="0"/>
        <v>-1.9999999999997797E-3</v>
      </c>
      <c r="J20" s="31">
        <f t="shared" si="3"/>
        <v>-1.4910407091389614E-3</v>
      </c>
    </row>
    <row r="21" spans="1:10" x14ac:dyDescent="0.3">
      <c r="A21" s="26">
        <v>9</v>
      </c>
      <c r="B21" s="32">
        <f t="shared" si="4"/>
        <v>3.740648379052369E-3</v>
      </c>
      <c r="C21" s="32">
        <f t="shared" si="5"/>
        <v>0.5</v>
      </c>
      <c r="D21" s="32">
        <f t="shared" si="6"/>
        <v>1</v>
      </c>
      <c r="E21" s="28">
        <v>1.2E-2</v>
      </c>
      <c r="F21" s="28">
        <v>2.004</v>
      </c>
      <c r="G21" s="28">
        <v>4.008</v>
      </c>
      <c r="H21" s="29">
        <f t="shared" si="2"/>
        <v>4.008</v>
      </c>
      <c r="I21" s="30"/>
      <c r="J21" s="31"/>
    </row>
  </sheetData>
  <mergeCells count="2">
    <mergeCell ref="B11:D11"/>
    <mergeCell ref="E11:G1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90832-496C-4A44-AE79-19161EDABA62}">
  <dimension ref="A2:T28"/>
  <sheetViews>
    <sheetView zoomScale="125" zoomScaleNormal="125" workbookViewId="0">
      <selection activeCell="I9" sqref="I9"/>
    </sheetView>
  </sheetViews>
  <sheetFormatPr defaultColWidth="12.44140625" defaultRowHeight="15.6" x14ac:dyDescent="0.3"/>
  <cols>
    <col min="1" max="16384" width="12.44140625" style="25"/>
  </cols>
  <sheetData>
    <row r="2" spans="2:20" x14ac:dyDescent="0.3">
      <c r="B2" s="33" t="s">
        <v>34</v>
      </c>
      <c r="C2" s="33"/>
      <c r="L2" s="40"/>
      <c r="M2" s="39"/>
      <c r="N2" s="39"/>
      <c r="O2" s="39"/>
      <c r="P2" s="39"/>
      <c r="Q2" s="39"/>
      <c r="R2" s="39"/>
    </row>
    <row r="3" spans="2:20" x14ac:dyDescent="0.3">
      <c r="B3" s="38" t="s">
        <v>41</v>
      </c>
      <c r="C3" s="25">
        <v>3</v>
      </c>
      <c r="L3" s="40"/>
      <c r="M3" s="39"/>
      <c r="N3" s="39"/>
      <c r="O3" s="39"/>
      <c r="P3" s="39"/>
      <c r="Q3" s="39"/>
      <c r="R3" s="39"/>
    </row>
    <row r="4" spans="2:20" x14ac:dyDescent="0.3">
      <c r="C4" s="35" t="s">
        <v>36</v>
      </c>
      <c r="D4" s="34"/>
      <c r="E4" s="34"/>
      <c r="F4" s="34"/>
      <c r="G4" s="35" t="s">
        <v>42</v>
      </c>
      <c r="H4" s="34"/>
      <c r="J4" s="35"/>
      <c r="K4" s="35" t="s">
        <v>47</v>
      </c>
      <c r="L4" s="41"/>
      <c r="M4" s="41"/>
      <c r="N4" s="39"/>
      <c r="O4" s="39"/>
      <c r="P4" s="39"/>
      <c r="Q4" s="39"/>
      <c r="R4" s="7"/>
      <c r="S4" s="7"/>
      <c r="T4" s="8"/>
    </row>
    <row r="5" spans="2:20" x14ac:dyDescent="0.3">
      <c r="B5" s="42">
        <v>1</v>
      </c>
      <c r="C5" s="34">
        <v>2</v>
      </c>
      <c r="D5" s="43">
        <v>-1</v>
      </c>
      <c r="E5" s="34"/>
      <c r="F5" s="42">
        <v>1</v>
      </c>
      <c r="G5" s="34">
        <v>0</v>
      </c>
      <c r="H5" s="43">
        <v>0</v>
      </c>
      <c r="I5" s="34"/>
      <c r="J5" s="44">
        <f>(B$5-($C$3*F$5))</f>
        <v>-2</v>
      </c>
      <c r="K5" s="44">
        <f>(C$5-($C$3*G$5))</f>
        <v>2</v>
      </c>
      <c r="L5" s="44">
        <f>(D$5-($C$3*H$5))</f>
        <v>-1</v>
      </c>
      <c r="M5" s="41"/>
      <c r="N5" s="39"/>
      <c r="O5" s="39"/>
      <c r="P5" s="39"/>
      <c r="Q5" s="39"/>
      <c r="R5" s="7"/>
      <c r="S5" s="7"/>
      <c r="T5" s="8"/>
    </row>
    <row r="6" spans="2:20" x14ac:dyDescent="0.3">
      <c r="B6" s="42">
        <v>1</v>
      </c>
      <c r="C6" s="34">
        <v>0</v>
      </c>
      <c r="D6" s="43">
        <v>1</v>
      </c>
      <c r="E6" s="34"/>
      <c r="F6" s="42">
        <v>0</v>
      </c>
      <c r="G6" s="34">
        <v>1</v>
      </c>
      <c r="H6" s="43">
        <v>0</v>
      </c>
      <c r="I6" s="34" t="s">
        <v>35</v>
      </c>
      <c r="J6" s="44">
        <f>(B$6-($C$3*F$6))</f>
        <v>1</v>
      </c>
      <c r="K6" s="44">
        <f>(C$6-($C$3*G$6))</f>
        <v>-3</v>
      </c>
      <c r="L6" s="44">
        <f>(D$6-($C$3*H$6))</f>
        <v>1</v>
      </c>
      <c r="M6" s="41"/>
      <c r="N6" s="39"/>
      <c r="O6" s="39"/>
      <c r="P6" s="39"/>
      <c r="Q6" s="39"/>
      <c r="R6" s="7"/>
      <c r="S6" s="7"/>
      <c r="T6" s="8"/>
    </row>
    <row r="7" spans="2:20" x14ac:dyDescent="0.3">
      <c r="B7" s="42">
        <v>4</v>
      </c>
      <c r="C7" s="34">
        <v>-4</v>
      </c>
      <c r="D7" s="43">
        <v>5</v>
      </c>
      <c r="E7" s="34"/>
      <c r="F7" s="42">
        <v>0</v>
      </c>
      <c r="G7" s="34">
        <v>0</v>
      </c>
      <c r="H7" s="43">
        <v>1</v>
      </c>
      <c r="I7" s="34"/>
      <c r="J7" s="44">
        <f>(B$7-($C$3*F$7))</f>
        <v>4</v>
      </c>
      <c r="K7" s="44">
        <f>(C$7-($C$3*G$7))</f>
        <v>-4</v>
      </c>
      <c r="L7" s="44">
        <f>(D$7-($C$3*H$7))</f>
        <v>2</v>
      </c>
      <c r="M7" s="41"/>
      <c r="N7" s="39"/>
      <c r="O7" s="39"/>
      <c r="P7" s="39"/>
      <c r="Q7" s="39"/>
      <c r="R7" s="7"/>
      <c r="S7" s="7"/>
      <c r="T7" s="8"/>
    </row>
    <row r="8" spans="2:20" x14ac:dyDescent="0.3">
      <c r="B8" s="34"/>
      <c r="C8" s="34"/>
      <c r="D8" s="34"/>
      <c r="E8" s="34"/>
      <c r="F8" s="34"/>
      <c r="G8" s="34"/>
      <c r="H8" s="34"/>
      <c r="I8" s="34"/>
      <c r="J8" s="34"/>
      <c r="K8" s="34"/>
      <c r="L8" s="45"/>
      <c r="M8" s="39"/>
      <c r="N8" s="39"/>
      <c r="O8" s="39"/>
      <c r="P8" s="39"/>
      <c r="Q8" s="39"/>
      <c r="R8" s="39"/>
    </row>
    <row r="9" spans="2:20" x14ac:dyDescent="0.3">
      <c r="B9" s="34"/>
      <c r="C9" s="34"/>
      <c r="D9" s="34"/>
      <c r="E9" s="34"/>
      <c r="F9" s="34"/>
      <c r="G9" s="34"/>
      <c r="H9" s="34"/>
      <c r="I9" s="34"/>
      <c r="J9" s="34"/>
      <c r="K9" s="34"/>
      <c r="L9" s="45"/>
      <c r="M9" s="39"/>
      <c r="N9" s="39"/>
      <c r="O9" s="39"/>
      <c r="P9" s="39"/>
      <c r="Q9" s="39"/>
      <c r="R9" s="39"/>
    </row>
    <row r="10" spans="2:20" x14ac:dyDescent="0.3">
      <c r="B10" s="34"/>
      <c r="C10" s="35" t="s">
        <v>43</v>
      </c>
      <c r="D10" s="34"/>
      <c r="E10" s="34"/>
      <c r="F10" s="35" t="s">
        <v>37</v>
      </c>
      <c r="G10" s="34"/>
      <c r="H10" s="35" t="s">
        <v>44</v>
      </c>
      <c r="I10" s="34"/>
      <c r="J10" s="34"/>
      <c r="K10" s="34"/>
      <c r="L10" s="49" t="s">
        <v>8</v>
      </c>
      <c r="M10" s="4"/>
      <c r="N10" s="4"/>
      <c r="O10" s="4"/>
      <c r="P10" s="4"/>
      <c r="Q10" s="4"/>
      <c r="R10" s="5"/>
    </row>
    <row r="11" spans="2:20" x14ac:dyDescent="0.3">
      <c r="B11" s="42">
        <f>J5</f>
        <v>-2</v>
      </c>
      <c r="C11" s="34">
        <f>K5</f>
        <v>2</v>
      </c>
      <c r="D11" s="43">
        <f>L5</f>
        <v>-1</v>
      </c>
      <c r="E11" s="34"/>
      <c r="F11" s="46">
        <v>0</v>
      </c>
      <c r="G11" s="34"/>
      <c r="H11" s="34">
        <f>(B11*$F$4)+(C11*$F$5)+(D11*$F$6)</f>
        <v>2</v>
      </c>
      <c r="I11" s="34"/>
      <c r="J11" s="34"/>
      <c r="K11" s="34"/>
      <c r="L11" s="48" t="s">
        <v>46</v>
      </c>
      <c r="M11" s="7"/>
      <c r="N11" s="7"/>
      <c r="O11" s="7"/>
      <c r="P11" s="7"/>
      <c r="Q11" s="7"/>
      <c r="R11" s="8"/>
    </row>
    <row r="12" spans="2:20" x14ac:dyDescent="0.3">
      <c r="B12" s="42">
        <f t="shared" ref="B12:B13" si="0">J6</f>
        <v>1</v>
      </c>
      <c r="C12" s="34">
        <f t="shared" ref="C12:C13" si="1">K6</f>
        <v>-3</v>
      </c>
      <c r="D12" s="43">
        <f t="shared" ref="D12:D13" si="2">L6</f>
        <v>1</v>
      </c>
      <c r="E12" s="34"/>
      <c r="F12" s="46">
        <v>1</v>
      </c>
      <c r="G12" s="34" t="s">
        <v>35</v>
      </c>
      <c r="H12" s="34">
        <f>(B12*$F$4)+(C12*$F$5)+(D12*$F$6)</f>
        <v>-3</v>
      </c>
      <c r="I12" s="34"/>
      <c r="J12" s="34"/>
      <c r="K12" s="34"/>
      <c r="L12" s="47"/>
      <c r="M12" s="7"/>
      <c r="N12" s="7"/>
      <c r="O12" s="7"/>
      <c r="P12" s="7"/>
      <c r="Q12" s="7"/>
      <c r="R12" s="8"/>
    </row>
    <row r="13" spans="2:20" x14ac:dyDescent="0.3">
      <c r="B13" s="42">
        <f t="shared" si="0"/>
        <v>4</v>
      </c>
      <c r="C13" s="34">
        <f t="shared" si="1"/>
        <v>-4</v>
      </c>
      <c r="D13" s="43">
        <f t="shared" si="2"/>
        <v>2</v>
      </c>
      <c r="E13" s="34"/>
      <c r="F13" s="46">
        <v>0</v>
      </c>
      <c r="G13" s="34"/>
      <c r="H13" s="34">
        <f>(B13*$F$4)+(C13*$F$5)+(D13*$F$6)</f>
        <v>-4</v>
      </c>
      <c r="I13" s="34"/>
      <c r="J13" s="34"/>
      <c r="K13" s="34"/>
      <c r="L13" s="47"/>
      <c r="M13" s="7"/>
      <c r="N13" s="7"/>
      <c r="O13" s="7"/>
      <c r="P13" s="7"/>
      <c r="Q13" s="7"/>
      <c r="R13" s="8"/>
    </row>
    <row r="14" spans="2:20" x14ac:dyDescent="0.3">
      <c r="L14" s="6"/>
      <c r="M14" s="7"/>
      <c r="N14" s="7"/>
      <c r="O14" s="7"/>
      <c r="P14" s="7"/>
      <c r="Q14" s="7"/>
      <c r="R14" s="8"/>
    </row>
    <row r="15" spans="2:20" x14ac:dyDescent="0.3">
      <c r="L15" s="6"/>
      <c r="M15" s="7"/>
      <c r="N15" s="7"/>
      <c r="O15" s="7"/>
      <c r="P15" s="7"/>
      <c r="Q15" s="7"/>
      <c r="R15" s="8"/>
    </row>
    <row r="16" spans="2:20" x14ac:dyDescent="0.3">
      <c r="L16" s="6"/>
      <c r="M16" s="7"/>
      <c r="N16" s="7"/>
      <c r="O16" s="7"/>
      <c r="P16" s="7"/>
      <c r="Q16" s="7"/>
      <c r="R16" s="8"/>
    </row>
    <row r="17" spans="1:18" x14ac:dyDescent="0.3">
      <c r="L17" s="6"/>
      <c r="M17" s="7"/>
      <c r="N17" s="7"/>
      <c r="O17" s="7"/>
      <c r="P17" s="7"/>
      <c r="Q17" s="7"/>
      <c r="R17" s="8"/>
    </row>
    <row r="18" spans="1:18" x14ac:dyDescent="0.3">
      <c r="A18" s="22" t="s">
        <v>29</v>
      </c>
      <c r="B18" s="99" t="s">
        <v>30</v>
      </c>
      <c r="C18" s="99"/>
      <c r="D18" s="99"/>
      <c r="E18" s="100" t="s">
        <v>45</v>
      </c>
      <c r="F18" s="100"/>
      <c r="G18" s="100"/>
      <c r="H18" s="23" t="s">
        <v>32</v>
      </c>
      <c r="I18" s="24" t="s">
        <v>33</v>
      </c>
      <c r="J18" s="22" t="s">
        <v>38</v>
      </c>
      <c r="L18" s="6"/>
      <c r="M18" s="7"/>
      <c r="N18" s="7"/>
      <c r="O18" s="7"/>
      <c r="P18" s="7"/>
      <c r="Q18" s="7"/>
      <c r="R18" s="8"/>
    </row>
    <row r="19" spans="1:18" x14ac:dyDescent="0.3">
      <c r="A19" s="26">
        <v>0</v>
      </c>
      <c r="B19" s="27">
        <v>0</v>
      </c>
      <c r="C19" s="27">
        <v>1</v>
      </c>
      <c r="D19" s="27">
        <v>0</v>
      </c>
      <c r="E19" s="28">
        <f t="shared" ref="E19:E28" si="3">($B$11*$B19)+($C$11*$C19)+($D$11*$D19)</f>
        <v>2</v>
      </c>
      <c r="F19" s="28">
        <f t="shared" ref="F19:F28" si="4">($B$12*$B19)+($C$12*$C19)+($D$12*$D19)</f>
        <v>-3</v>
      </c>
      <c r="G19" s="28">
        <f t="shared" ref="G19:G28" si="5">($B$13*$B19)+($C$13*$C19)+($D$13*$D19)</f>
        <v>-4</v>
      </c>
      <c r="H19" s="29">
        <f t="shared" ref="H19:H28" si="6">IF(MAX(E19:G19)&lt;ABS(MIN(E19:G19)), MIN(E19:G19), MAX(E19:G19))</f>
        <v>-4</v>
      </c>
      <c r="I19" s="30">
        <f t="shared" ref="I19:I27" si="7">H20-H19</f>
        <v>1</v>
      </c>
      <c r="J19" s="31">
        <f t="shared" ref="J19:J27" si="8">(B20-B19)+(C20-C19)+(D20-D19)</f>
        <v>0.25</v>
      </c>
      <c r="L19" s="9"/>
      <c r="M19" s="10"/>
      <c r="N19" s="10"/>
      <c r="O19" s="10"/>
      <c r="P19" s="10"/>
      <c r="Q19" s="10"/>
      <c r="R19" s="11"/>
    </row>
    <row r="20" spans="1:18" x14ac:dyDescent="0.3">
      <c r="A20" s="26">
        <v>1</v>
      </c>
      <c r="B20" s="32">
        <f t="shared" ref="B20:D21" si="9">E19/$H19</f>
        <v>-0.5</v>
      </c>
      <c r="C20" s="32">
        <f t="shared" si="9"/>
        <v>0.75</v>
      </c>
      <c r="D20" s="32">
        <f t="shared" si="9"/>
        <v>1</v>
      </c>
      <c r="E20" s="28">
        <f t="shared" si="3"/>
        <v>1.5</v>
      </c>
      <c r="F20" s="28">
        <f t="shared" si="4"/>
        <v>-1.75</v>
      </c>
      <c r="G20" s="28">
        <f t="shared" si="5"/>
        <v>-3</v>
      </c>
      <c r="H20" s="29">
        <f t="shared" si="6"/>
        <v>-3</v>
      </c>
      <c r="I20" s="30">
        <f t="shared" si="7"/>
        <v>0.66666666666666607</v>
      </c>
      <c r="J20" s="31">
        <f t="shared" si="8"/>
        <v>-0.16666666666666663</v>
      </c>
    </row>
    <row r="21" spans="1:18" x14ac:dyDescent="0.3">
      <c r="A21" s="26">
        <v>2</v>
      </c>
      <c r="B21" s="32">
        <f t="shared" si="9"/>
        <v>-0.5</v>
      </c>
      <c r="C21" s="32">
        <f t="shared" si="9"/>
        <v>0.58333333333333337</v>
      </c>
      <c r="D21" s="32">
        <f t="shared" si="9"/>
        <v>1</v>
      </c>
      <c r="E21" s="28">
        <f t="shared" si="3"/>
        <v>1.166666666666667</v>
      </c>
      <c r="F21" s="28">
        <f t="shared" si="4"/>
        <v>-1.25</v>
      </c>
      <c r="G21" s="28">
        <f t="shared" si="5"/>
        <v>-2.3333333333333339</v>
      </c>
      <c r="H21" s="29">
        <f t="shared" si="6"/>
        <v>-2.3333333333333339</v>
      </c>
      <c r="I21" s="30">
        <f t="shared" si="7"/>
        <v>0.19047619047619158</v>
      </c>
      <c r="J21" s="31">
        <f t="shared" si="8"/>
        <v>-4.7619047619047783E-2</v>
      </c>
    </row>
    <row r="22" spans="1:18" x14ac:dyDescent="0.3">
      <c r="A22" s="26">
        <v>3</v>
      </c>
      <c r="B22" s="32">
        <f t="shared" ref="B22:B28" si="10">E21/H21</f>
        <v>-0.5</v>
      </c>
      <c r="C22" s="32">
        <f t="shared" ref="C22:C28" si="11">F21/H21</f>
        <v>0.53571428571428559</v>
      </c>
      <c r="D22" s="32">
        <f t="shared" ref="D22:D28" si="12">G21/H21</f>
        <v>1</v>
      </c>
      <c r="E22" s="28">
        <f t="shared" si="3"/>
        <v>1.0714285714285712</v>
      </c>
      <c r="F22" s="28">
        <f t="shared" si="4"/>
        <v>-1.1071428571428568</v>
      </c>
      <c r="G22" s="28">
        <f t="shared" si="5"/>
        <v>-2.1428571428571423</v>
      </c>
      <c r="H22" s="29">
        <f t="shared" si="6"/>
        <v>-2.1428571428571423</v>
      </c>
      <c r="I22" s="30">
        <f t="shared" si="7"/>
        <v>7.619047619047592E-2</v>
      </c>
      <c r="J22" s="31">
        <f t="shared" si="8"/>
        <v>-1.904761904761898E-2</v>
      </c>
    </row>
    <row r="23" spans="1:18" x14ac:dyDescent="0.3">
      <c r="A23" s="26">
        <v>4</v>
      </c>
      <c r="B23" s="32">
        <f t="shared" si="10"/>
        <v>-0.5</v>
      </c>
      <c r="C23" s="32">
        <f t="shared" si="11"/>
        <v>0.51666666666666661</v>
      </c>
      <c r="D23" s="32">
        <f t="shared" si="12"/>
        <v>1</v>
      </c>
      <c r="E23" s="28">
        <f t="shared" si="3"/>
        <v>1.0333333333333332</v>
      </c>
      <c r="F23" s="28">
        <f t="shared" si="4"/>
        <v>-1.0499999999999998</v>
      </c>
      <c r="G23" s="28">
        <f t="shared" si="5"/>
        <v>-2.0666666666666664</v>
      </c>
      <c r="H23" s="29">
        <f t="shared" si="6"/>
        <v>-2.0666666666666664</v>
      </c>
      <c r="I23" s="30">
        <f t="shared" si="7"/>
        <v>3.4408602150537426E-2</v>
      </c>
      <c r="J23" s="31">
        <f t="shared" si="8"/>
        <v>-8.6021505376343566E-3</v>
      </c>
    </row>
    <row r="24" spans="1:18" x14ac:dyDescent="0.3">
      <c r="A24" s="26">
        <v>5</v>
      </c>
      <c r="B24" s="32">
        <f t="shared" si="10"/>
        <v>-0.5</v>
      </c>
      <c r="C24" s="32">
        <f t="shared" si="11"/>
        <v>0.50806451612903225</v>
      </c>
      <c r="D24" s="32">
        <f t="shared" si="12"/>
        <v>1</v>
      </c>
      <c r="E24" s="28">
        <f t="shared" si="3"/>
        <v>1.0161290322580645</v>
      </c>
      <c r="F24" s="28">
        <f t="shared" si="4"/>
        <v>-1.024193548387097</v>
      </c>
      <c r="G24" s="28">
        <f t="shared" si="5"/>
        <v>-2.032258064516129</v>
      </c>
      <c r="H24" s="29">
        <f t="shared" si="6"/>
        <v>-2.032258064516129</v>
      </c>
      <c r="I24" s="30">
        <f t="shared" si="7"/>
        <v>1.6385048643113187E-2</v>
      </c>
      <c r="J24" s="31">
        <f t="shared" si="8"/>
        <v>-4.0962621607781857E-3</v>
      </c>
    </row>
    <row r="25" spans="1:18" x14ac:dyDescent="0.3">
      <c r="A25" s="26">
        <v>6</v>
      </c>
      <c r="B25" s="32">
        <f t="shared" si="10"/>
        <v>-0.5</v>
      </c>
      <c r="C25" s="32">
        <f t="shared" si="11"/>
        <v>0.50396825396825407</v>
      </c>
      <c r="D25" s="32">
        <f t="shared" si="12"/>
        <v>1</v>
      </c>
      <c r="E25" s="28">
        <f t="shared" si="3"/>
        <v>1.0079365079365079</v>
      </c>
      <c r="F25" s="28">
        <f t="shared" si="4"/>
        <v>-1.0119047619047623</v>
      </c>
      <c r="G25" s="28">
        <f t="shared" si="5"/>
        <v>-2.0158730158730158</v>
      </c>
      <c r="H25" s="29">
        <f t="shared" si="6"/>
        <v>-2.0158730158730158</v>
      </c>
      <c r="I25" s="30">
        <f t="shared" si="7"/>
        <v>7.9990001249834464E-3</v>
      </c>
      <c r="J25" s="31">
        <f t="shared" si="8"/>
        <v>-1.9997500312459726E-3</v>
      </c>
    </row>
    <row r="26" spans="1:18" x14ac:dyDescent="0.3">
      <c r="A26" s="26">
        <v>7</v>
      </c>
      <c r="B26" s="32">
        <f t="shared" si="10"/>
        <v>-0.5</v>
      </c>
      <c r="C26" s="32">
        <f t="shared" si="11"/>
        <v>0.50196850393700809</v>
      </c>
      <c r="D26" s="32">
        <f t="shared" si="12"/>
        <v>1</v>
      </c>
      <c r="E26" s="28">
        <f t="shared" si="3"/>
        <v>1.0039370078740162</v>
      </c>
      <c r="F26" s="28">
        <f t="shared" si="4"/>
        <v>-1.0059055118110241</v>
      </c>
      <c r="G26" s="28">
        <f t="shared" si="5"/>
        <v>-2.0078740157480324</v>
      </c>
      <c r="H26" s="29">
        <f t="shared" si="6"/>
        <v>-2.0078740157480324</v>
      </c>
      <c r="I26" s="30">
        <f t="shared" si="7"/>
        <v>3.9524471205814038E-3</v>
      </c>
      <c r="J26" s="31">
        <f t="shared" si="8"/>
        <v>-9.8811178014535095E-4</v>
      </c>
    </row>
    <row r="27" spans="1:18" x14ac:dyDescent="0.3">
      <c r="A27" s="26">
        <v>8</v>
      </c>
      <c r="B27" s="32">
        <f t="shared" si="10"/>
        <v>-0.5</v>
      </c>
      <c r="C27" s="32">
        <f t="shared" si="11"/>
        <v>0.50098039215686274</v>
      </c>
      <c r="D27" s="32">
        <f t="shared" si="12"/>
        <v>1</v>
      </c>
      <c r="E27" s="28">
        <f t="shared" si="3"/>
        <v>1.0019607843137255</v>
      </c>
      <c r="F27" s="28">
        <f t="shared" si="4"/>
        <v>-1.0029411764705882</v>
      </c>
      <c r="G27" s="28">
        <f t="shared" si="5"/>
        <v>-2.003921568627451</v>
      </c>
      <c r="H27" s="29">
        <f t="shared" si="6"/>
        <v>-2.003921568627451</v>
      </c>
      <c r="I27" s="30">
        <f t="shared" si="7"/>
        <v>1.9646214650244076E-3</v>
      </c>
      <c r="J27" s="31">
        <f t="shared" si="8"/>
        <v>-4.911553662561019E-4</v>
      </c>
    </row>
    <row r="28" spans="1:18" x14ac:dyDescent="0.3">
      <c r="A28" s="26">
        <v>9</v>
      </c>
      <c r="B28" s="32">
        <f t="shared" si="10"/>
        <v>-0.5</v>
      </c>
      <c r="C28" s="32">
        <f t="shared" si="11"/>
        <v>0.50048923679060664</v>
      </c>
      <c r="D28" s="32">
        <f t="shared" si="12"/>
        <v>1</v>
      </c>
      <c r="E28" s="28">
        <f t="shared" si="3"/>
        <v>1.0009784735812133</v>
      </c>
      <c r="F28" s="28">
        <f t="shared" si="4"/>
        <v>-1.0014677103718199</v>
      </c>
      <c r="G28" s="28">
        <f t="shared" si="5"/>
        <v>-2.0019569471624266</v>
      </c>
      <c r="H28" s="29">
        <f t="shared" si="6"/>
        <v>-2.0019569471624266</v>
      </c>
      <c r="I28" s="30"/>
      <c r="J28" s="31"/>
    </row>
  </sheetData>
  <mergeCells count="2">
    <mergeCell ref="B18:D18"/>
    <mergeCell ref="E18:G1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B2E4A-22CC-4401-BF57-3AC98F3F10E0}">
  <dimension ref="A1:H27"/>
  <sheetViews>
    <sheetView workbookViewId="0">
      <selection activeCell="G20" sqref="G20"/>
    </sheetView>
  </sheetViews>
  <sheetFormatPr defaultRowHeight="14.4" x14ac:dyDescent="0.3"/>
  <cols>
    <col min="1" max="2" width="8.88671875" style="19"/>
    <col min="3" max="3" width="11.44140625" style="19" bestFit="1" customWidth="1"/>
    <col min="4" max="5" width="8.88671875" style="19"/>
    <col min="6" max="6" width="13.33203125" style="19" bestFit="1" customWidth="1"/>
    <col min="7" max="7" width="12.5546875" style="19" bestFit="1" customWidth="1"/>
    <col min="8" max="16384" width="8.88671875" style="19"/>
  </cols>
  <sheetData>
    <row r="1" spans="1:8" x14ac:dyDescent="0.3">
      <c r="A1" s="50" t="s">
        <v>48</v>
      </c>
    </row>
    <row r="2" spans="1:8" x14ac:dyDescent="0.3">
      <c r="A2" s="50"/>
    </row>
    <row r="3" spans="1:8" x14ac:dyDescent="0.3">
      <c r="A3" s="50" t="s">
        <v>49</v>
      </c>
    </row>
    <row r="5" spans="1:8" x14ac:dyDescent="0.3">
      <c r="A5" s="51" t="s">
        <v>0</v>
      </c>
      <c r="B5" s="52" t="s">
        <v>18</v>
      </c>
      <c r="C5" s="52" t="s">
        <v>50</v>
      </c>
      <c r="D5" s="53">
        <v>1</v>
      </c>
      <c r="E5" s="53">
        <v>2</v>
      </c>
      <c r="F5" s="53">
        <v>3</v>
      </c>
      <c r="G5" s="53">
        <v>4</v>
      </c>
      <c r="H5" s="53">
        <v>5</v>
      </c>
    </row>
    <row r="6" spans="1:8" x14ac:dyDescent="0.3">
      <c r="A6" s="51">
        <v>0</v>
      </c>
      <c r="B6" s="54">
        <v>1</v>
      </c>
      <c r="C6" s="55">
        <v>0.5</v>
      </c>
      <c r="D6" s="56"/>
      <c r="E6" s="57"/>
      <c r="F6" s="57"/>
      <c r="G6" s="57"/>
      <c r="H6" s="58"/>
    </row>
    <row r="7" spans="1:8" x14ac:dyDescent="0.3">
      <c r="A7" s="51">
        <v>1</v>
      </c>
      <c r="B7" s="54">
        <v>1.2</v>
      </c>
      <c r="C7" s="55">
        <v>0.45450000000000002</v>
      </c>
      <c r="D7" s="54">
        <f t="shared" ref="D7:F10" si="0">C7-C6</f>
        <v>-4.5499999999999985E-2</v>
      </c>
      <c r="E7" s="59"/>
      <c r="F7" s="59"/>
      <c r="G7" s="59"/>
      <c r="H7" s="60"/>
    </row>
    <row r="8" spans="1:8" x14ac:dyDescent="0.3">
      <c r="A8" s="51">
        <v>2</v>
      </c>
      <c r="B8" s="54">
        <v>1.4</v>
      </c>
      <c r="C8" s="55">
        <v>0.41670000000000001</v>
      </c>
      <c r="D8" s="54">
        <f t="shared" si="0"/>
        <v>-3.78E-2</v>
      </c>
      <c r="E8" s="54">
        <f t="shared" si="0"/>
        <v>7.6999999999999846E-3</v>
      </c>
      <c r="F8" s="59"/>
      <c r="G8" s="59"/>
      <c r="H8" s="60"/>
    </row>
    <row r="9" spans="1:8" x14ac:dyDescent="0.3">
      <c r="A9" s="51">
        <v>3</v>
      </c>
      <c r="B9" s="54">
        <v>1.6</v>
      </c>
      <c r="C9" s="55">
        <v>0.3846</v>
      </c>
      <c r="D9" s="54">
        <f t="shared" si="0"/>
        <v>-3.2100000000000017E-2</v>
      </c>
      <c r="E9" s="61">
        <f t="shared" si="0"/>
        <v>5.6999999999999829E-3</v>
      </c>
      <c r="F9" s="54">
        <f t="shared" si="0"/>
        <v>-2.0000000000000018E-3</v>
      </c>
      <c r="G9" s="59"/>
      <c r="H9" s="60"/>
    </row>
    <row r="10" spans="1:8" x14ac:dyDescent="0.3">
      <c r="A10" s="51">
        <v>4</v>
      </c>
      <c r="B10" s="54">
        <v>1.8</v>
      </c>
      <c r="C10" s="55">
        <v>0.35709999999999997</v>
      </c>
      <c r="D10" s="54">
        <f t="shared" si="0"/>
        <v>-2.7500000000000024E-2</v>
      </c>
      <c r="E10" s="61">
        <f t="shared" si="0"/>
        <v>4.599999999999993E-3</v>
      </c>
      <c r="F10" s="61">
        <f t="shared" si="0"/>
        <v>-1.0999999999999899E-3</v>
      </c>
      <c r="G10" s="54">
        <f>F10-F9</f>
        <v>9.000000000000119E-4</v>
      </c>
      <c r="H10" s="60"/>
    </row>
    <row r="11" spans="1:8" x14ac:dyDescent="0.3">
      <c r="A11" s="51">
        <v>5</v>
      </c>
      <c r="B11" s="54">
        <v>2</v>
      </c>
      <c r="C11" s="55">
        <v>0.33329999999999999</v>
      </c>
      <c r="D11" s="54">
        <f>C11-C10</f>
        <v>-2.3799999999999988E-2</v>
      </c>
      <c r="E11" s="61">
        <f>D11-D10</f>
        <v>3.7000000000000366E-3</v>
      </c>
      <c r="F11" s="61">
        <f>E11-E10</f>
        <v>-8.9999999999995639E-4</v>
      </c>
      <c r="G11" s="61">
        <f>F11-F10</f>
        <v>2.0000000000003348E-4</v>
      </c>
      <c r="H11" s="54">
        <f>G11-G10</f>
        <v>-6.9999999999997842E-4</v>
      </c>
    </row>
    <row r="14" spans="1:8" x14ac:dyDescent="0.3">
      <c r="A14" s="62" t="s">
        <v>51</v>
      </c>
      <c r="D14" s="63">
        <f>B7-B6</f>
        <v>0.19999999999999996</v>
      </c>
    </row>
    <row r="15" spans="1:8" x14ac:dyDescent="0.3">
      <c r="A15" s="62" t="s">
        <v>52</v>
      </c>
    </row>
    <row r="16" spans="1:8" x14ac:dyDescent="0.3">
      <c r="B16" s="19" t="s">
        <v>53</v>
      </c>
      <c r="C16" s="19">
        <v>1.9</v>
      </c>
    </row>
    <row r="17" spans="1:7" x14ac:dyDescent="0.3">
      <c r="B17" s="19" t="s">
        <v>54</v>
      </c>
      <c r="C17" s="19">
        <f>(C16-B11)/D14</f>
        <v>-0.50000000000000056</v>
      </c>
    </row>
    <row r="19" spans="1:7" x14ac:dyDescent="0.3">
      <c r="A19" s="62" t="s">
        <v>55</v>
      </c>
    </row>
    <row r="21" spans="1:7" x14ac:dyDescent="0.3">
      <c r="B21" s="52" t="s">
        <v>56</v>
      </c>
      <c r="C21" s="52" t="s">
        <v>57</v>
      </c>
      <c r="D21" s="52" t="s">
        <v>58</v>
      </c>
      <c r="E21" s="52" t="s">
        <v>50</v>
      </c>
      <c r="F21" s="52" t="s">
        <v>59</v>
      </c>
      <c r="G21" s="52" t="s">
        <v>60</v>
      </c>
    </row>
    <row r="22" spans="1:7" x14ac:dyDescent="0.3">
      <c r="B22" s="51">
        <f t="shared" ref="B22:B27" si="1">$C$17+A6</f>
        <v>-0.50000000000000056</v>
      </c>
      <c r="C22" s="51">
        <f>B22</f>
        <v>-0.50000000000000056</v>
      </c>
      <c r="D22" s="51">
        <f>A7</f>
        <v>1</v>
      </c>
      <c r="E22" s="54">
        <f>D11</f>
        <v>-2.3799999999999988E-2</v>
      </c>
      <c r="F22" s="64">
        <f>(C22/D22)*E22</f>
        <v>1.1900000000000008E-2</v>
      </c>
      <c r="G22" s="64">
        <f>SUM(F22:F26)+C11</f>
        <v>0.344805078125</v>
      </c>
    </row>
    <row r="23" spans="1:7" x14ac:dyDescent="0.3">
      <c r="B23" s="51">
        <f t="shared" si="1"/>
        <v>0.49999999999999944</v>
      </c>
      <c r="C23" s="51">
        <f>B23*B22</f>
        <v>-0.25</v>
      </c>
      <c r="D23" s="51">
        <f>A8*A7</f>
        <v>2</v>
      </c>
      <c r="E23" s="54">
        <f>E11</f>
        <v>3.7000000000000366E-3</v>
      </c>
      <c r="F23" s="64">
        <f t="shared" ref="F23:F26" si="2">(C23/D23)*E23</f>
        <v>-4.6250000000000457E-4</v>
      </c>
      <c r="G23" s="51"/>
    </row>
    <row r="24" spans="1:7" x14ac:dyDescent="0.3">
      <c r="B24" s="51">
        <f t="shared" si="1"/>
        <v>1.4999999999999996</v>
      </c>
      <c r="C24" s="51">
        <f>B24*B23*B22</f>
        <v>-0.37499999999999989</v>
      </c>
      <c r="D24" s="51">
        <f>A9*A8*A7</f>
        <v>6</v>
      </c>
      <c r="E24" s="54">
        <f>F11</f>
        <v>-8.9999999999995639E-4</v>
      </c>
      <c r="F24" s="64">
        <f t="shared" si="2"/>
        <v>5.6249999999997254E-5</v>
      </c>
      <c r="G24" s="51"/>
    </row>
    <row r="25" spans="1:7" x14ac:dyDescent="0.3">
      <c r="B25" s="51">
        <f t="shared" si="1"/>
        <v>2.4999999999999996</v>
      </c>
      <c r="C25" s="51">
        <f>B25*B24*B23*B22</f>
        <v>-0.93749999999999956</v>
      </c>
      <c r="D25" s="51">
        <f>A10*A9*A8*A7</f>
        <v>24</v>
      </c>
      <c r="E25" s="54">
        <f>G11</f>
        <v>2.0000000000003348E-4</v>
      </c>
      <c r="F25" s="64">
        <f t="shared" si="2"/>
        <v>-7.8125000000013046E-6</v>
      </c>
      <c r="G25" s="51"/>
    </row>
    <row r="26" spans="1:7" x14ac:dyDescent="0.3">
      <c r="B26" s="51">
        <f t="shared" si="1"/>
        <v>3.4999999999999996</v>
      </c>
      <c r="C26" s="51">
        <f>B26*B25*B24*B23*B22</f>
        <v>-3.2812499999999978</v>
      </c>
      <c r="D26" s="51">
        <f>A11*A10*A9*A8*A7</f>
        <v>120</v>
      </c>
      <c r="E26" s="54">
        <f>H11</f>
        <v>-6.9999999999997842E-4</v>
      </c>
      <c r="F26" s="64">
        <f t="shared" si="2"/>
        <v>1.9140624999999396E-5</v>
      </c>
      <c r="G26" s="51"/>
    </row>
    <row r="27" spans="1:7" x14ac:dyDescent="0.3">
      <c r="B27" s="51">
        <f t="shared" si="1"/>
        <v>4.4999999999999991</v>
      </c>
      <c r="C27" s="51">
        <f>B27*B26*B25*B24*B23*B22</f>
        <v>-14.765624999999988</v>
      </c>
      <c r="D27" s="51"/>
      <c r="E27" s="51"/>
      <c r="F27" s="51"/>
      <c r="G27" s="51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4856-D95E-4406-90B9-6B511F150511}">
  <dimension ref="A1:H27"/>
  <sheetViews>
    <sheetView workbookViewId="0">
      <selection activeCell="E29" sqref="E29"/>
    </sheetView>
  </sheetViews>
  <sheetFormatPr defaultRowHeight="14.4" x14ac:dyDescent="0.3"/>
  <cols>
    <col min="1" max="1" width="8.88671875" style="19"/>
    <col min="2" max="2" width="7.6640625" style="19" bestFit="1" customWidth="1"/>
    <col min="3" max="3" width="11.21875" style="19" bestFit="1" customWidth="1"/>
    <col min="4" max="5" width="8.88671875" style="19"/>
    <col min="6" max="6" width="13.33203125" style="19" bestFit="1" customWidth="1"/>
    <col min="7" max="16384" width="8.88671875" style="19"/>
  </cols>
  <sheetData>
    <row r="1" spans="1:8" x14ac:dyDescent="0.3">
      <c r="A1" s="50" t="s">
        <v>61</v>
      </c>
    </row>
    <row r="2" spans="1:8" x14ac:dyDescent="0.3">
      <c r="A2" s="50"/>
    </row>
    <row r="3" spans="1:8" x14ac:dyDescent="0.3">
      <c r="A3" s="50" t="s">
        <v>62</v>
      </c>
    </row>
    <row r="5" spans="1:8" x14ac:dyDescent="0.3">
      <c r="A5" s="51" t="s">
        <v>0</v>
      </c>
      <c r="B5" s="52" t="s">
        <v>18</v>
      </c>
      <c r="C5" s="52" t="s">
        <v>50</v>
      </c>
      <c r="D5" s="52">
        <v>1</v>
      </c>
      <c r="E5" s="52">
        <v>2</v>
      </c>
      <c r="F5" s="52">
        <v>3</v>
      </c>
      <c r="G5" s="52">
        <v>4</v>
      </c>
      <c r="H5" s="52">
        <v>5</v>
      </c>
    </row>
    <row r="6" spans="1:8" x14ac:dyDescent="0.3">
      <c r="A6" s="51">
        <v>0</v>
      </c>
      <c r="B6" s="54">
        <v>1</v>
      </c>
      <c r="C6" s="54">
        <v>0.5</v>
      </c>
      <c r="D6" s="54">
        <f>C7-C6</f>
        <v>-4.5499999999999985E-2</v>
      </c>
      <c r="E6" s="54">
        <f>D7-D6</f>
        <v>7.6999999999999846E-3</v>
      </c>
      <c r="F6" s="54">
        <f>E7-E6</f>
        <v>-2.0000000000000018E-3</v>
      </c>
      <c r="G6" s="54">
        <f>F7-F6</f>
        <v>9.000000000000119E-4</v>
      </c>
      <c r="H6" s="65">
        <f>G7-G6</f>
        <v>-6.9999999999997842E-4</v>
      </c>
    </row>
    <row r="7" spans="1:8" x14ac:dyDescent="0.3">
      <c r="A7" s="51">
        <v>1</v>
      </c>
      <c r="B7" s="54">
        <v>1.2</v>
      </c>
      <c r="C7" s="54">
        <v>0.45450000000000002</v>
      </c>
      <c r="D7" s="54">
        <f t="shared" ref="D7:G10" si="0">C8-C7</f>
        <v>-3.78E-2</v>
      </c>
      <c r="E7" s="54">
        <f t="shared" si="0"/>
        <v>5.6999999999999829E-3</v>
      </c>
      <c r="F7" s="54">
        <f t="shared" si="0"/>
        <v>-1.0999999999999899E-3</v>
      </c>
      <c r="G7" s="66">
        <f t="shared" si="0"/>
        <v>2.0000000000003348E-4</v>
      </c>
      <c r="H7" s="67"/>
    </row>
    <row r="8" spans="1:8" x14ac:dyDescent="0.3">
      <c r="A8" s="51">
        <v>2</v>
      </c>
      <c r="B8" s="54">
        <v>1.4</v>
      </c>
      <c r="C8" s="54">
        <v>0.41670000000000001</v>
      </c>
      <c r="D8" s="54">
        <f t="shared" si="0"/>
        <v>-3.2100000000000017E-2</v>
      </c>
      <c r="E8" s="54">
        <f t="shared" si="0"/>
        <v>4.599999999999993E-3</v>
      </c>
      <c r="F8" s="66">
        <f t="shared" si="0"/>
        <v>-8.9999999999995639E-4</v>
      </c>
      <c r="G8" s="68"/>
      <c r="H8" s="69"/>
    </row>
    <row r="9" spans="1:8" x14ac:dyDescent="0.3">
      <c r="A9" s="51">
        <v>3</v>
      </c>
      <c r="B9" s="54">
        <v>1.6</v>
      </c>
      <c r="C9" s="54">
        <v>0.3846</v>
      </c>
      <c r="D9" s="54">
        <f t="shared" si="0"/>
        <v>-2.7500000000000024E-2</v>
      </c>
      <c r="E9" s="66">
        <f t="shared" si="0"/>
        <v>3.7000000000000366E-3</v>
      </c>
      <c r="F9" s="68"/>
      <c r="G9" s="70"/>
      <c r="H9" s="69"/>
    </row>
    <row r="10" spans="1:8" x14ac:dyDescent="0.3">
      <c r="A10" s="51">
        <v>4</v>
      </c>
      <c r="B10" s="54">
        <v>1.8</v>
      </c>
      <c r="C10" s="54">
        <v>0.35709999999999997</v>
      </c>
      <c r="D10" s="66">
        <f t="shared" si="0"/>
        <v>-2.3799999999999988E-2</v>
      </c>
      <c r="E10" s="68"/>
      <c r="F10" s="70"/>
      <c r="G10" s="70"/>
      <c r="H10" s="69"/>
    </row>
    <row r="11" spans="1:8" x14ac:dyDescent="0.3">
      <c r="A11" s="51">
        <v>5</v>
      </c>
      <c r="B11" s="54">
        <v>2</v>
      </c>
      <c r="C11" s="55">
        <v>0.33329999999999999</v>
      </c>
      <c r="D11" s="71"/>
      <c r="E11" s="72"/>
      <c r="F11" s="72"/>
      <c r="G11" s="72"/>
      <c r="H11" s="73"/>
    </row>
    <row r="14" spans="1:8" x14ac:dyDescent="0.3">
      <c r="A14" s="62" t="s">
        <v>51</v>
      </c>
      <c r="D14" s="63">
        <f>B7-B6</f>
        <v>0.19999999999999996</v>
      </c>
    </row>
    <row r="15" spans="1:8" x14ac:dyDescent="0.3">
      <c r="A15" s="62" t="s">
        <v>63</v>
      </c>
    </row>
    <row r="16" spans="1:8" x14ac:dyDescent="0.3">
      <c r="B16" s="19" t="s">
        <v>53</v>
      </c>
      <c r="C16" s="19">
        <v>1.1000000000000001</v>
      </c>
    </row>
    <row r="17" spans="1:7" x14ac:dyDescent="0.3">
      <c r="B17" s="19" t="s">
        <v>54</v>
      </c>
      <c r="C17" s="19">
        <f>(C16-B6)/(B7-B6)</f>
        <v>0.50000000000000056</v>
      </c>
    </row>
    <row r="19" spans="1:7" x14ac:dyDescent="0.3">
      <c r="A19" s="62" t="s">
        <v>55</v>
      </c>
    </row>
    <row r="20" spans="1:7" x14ac:dyDescent="0.3">
      <c r="A20" s="62" t="s">
        <v>64</v>
      </c>
    </row>
    <row r="21" spans="1:7" x14ac:dyDescent="0.3">
      <c r="B21" s="52" t="s">
        <v>65</v>
      </c>
      <c r="C21" s="52" t="s">
        <v>66</v>
      </c>
      <c r="D21" s="52" t="s">
        <v>50</v>
      </c>
      <c r="E21" s="52" t="s">
        <v>58</v>
      </c>
      <c r="F21" s="52" t="s">
        <v>59</v>
      </c>
      <c r="G21" s="52" t="s">
        <v>60</v>
      </c>
    </row>
    <row r="22" spans="1:7" x14ac:dyDescent="0.3">
      <c r="B22" s="51">
        <f>$C$17-A6</f>
        <v>0.50000000000000056</v>
      </c>
      <c r="C22" s="51">
        <f>B22</f>
        <v>0.50000000000000056</v>
      </c>
      <c r="D22" s="54">
        <f>D6</f>
        <v>-4.5499999999999985E-2</v>
      </c>
      <c r="E22" s="51">
        <f>A7</f>
        <v>1</v>
      </c>
      <c r="F22" s="74">
        <f>(C22/E22)*D22</f>
        <v>-2.2750000000000017E-2</v>
      </c>
      <c r="G22" s="74">
        <f>SUM(F22:F26)+C6</f>
        <v>0.47610820312499996</v>
      </c>
    </row>
    <row r="23" spans="1:7" x14ac:dyDescent="0.3">
      <c r="B23" s="51">
        <f t="shared" ref="B23:B26" si="1">$C$17-A7</f>
        <v>-0.49999999999999944</v>
      </c>
      <c r="C23" s="51">
        <f>B23*B22</f>
        <v>-0.25</v>
      </c>
      <c r="D23" s="54">
        <f>E6</f>
        <v>7.6999999999999846E-3</v>
      </c>
      <c r="E23" s="51">
        <f>A8*A7</f>
        <v>2</v>
      </c>
      <c r="F23" s="74">
        <f t="shared" ref="F23:F26" si="2">(C23/E23)*D23</f>
        <v>-9.6249999999999808E-4</v>
      </c>
      <c r="G23" s="51"/>
    </row>
    <row r="24" spans="1:7" x14ac:dyDescent="0.3">
      <c r="B24" s="51">
        <f t="shared" si="1"/>
        <v>-1.4999999999999996</v>
      </c>
      <c r="C24" s="51">
        <f>B24*B23*B22</f>
        <v>0.37499999999999989</v>
      </c>
      <c r="D24" s="54">
        <f>F6</f>
        <v>-2.0000000000000018E-3</v>
      </c>
      <c r="E24" s="51">
        <f>A9*A8*A7</f>
        <v>6</v>
      </c>
      <c r="F24" s="74">
        <f t="shared" si="2"/>
        <v>-1.2500000000000006E-4</v>
      </c>
      <c r="G24" s="51"/>
    </row>
    <row r="25" spans="1:7" x14ac:dyDescent="0.3">
      <c r="B25" s="51">
        <f t="shared" si="1"/>
        <v>-2.4999999999999996</v>
      </c>
      <c r="C25" s="51">
        <f>B25*B24*B23*B22</f>
        <v>-0.93749999999999956</v>
      </c>
      <c r="D25" s="54">
        <f>G6</f>
        <v>9.000000000000119E-4</v>
      </c>
      <c r="E25" s="51">
        <f>A10*A9*A8*A7</f>
        <v>24</v>
      </c>
      <c r="F25" s="74">
        <f t="shared" si="2"/>
        <v>-3.5156250000000445E-5</v>
      </c>
      <c r="G25" s="51"/>
    </row>
    <row r="26" spans="1:7" x14ac:dyDescent="0.3">
      <c r="B26" s="51">
        <f t="shared" si="1"/>
        <v>-3.4999999999999996</v>
      </c>
      <c r="C26" s="51">
        <f>B26*B25*B24*B23*B22</f>
        <v>3.2812499999999978</v>
      </c>
      <c r="D26" s="54">
        <f>H6</f>
        <v>-6.9999999999997842E-4</v>
      </c>
      <c r="E26" s="51">
        <f>A11*A10*A9*A8*A7</f>
        <v>120</v>
      </c>
      <c r="F26" s="74">
        <f t="shared" si="2"/>
        <v>-1.9140624999999396E-5</v>
      </c>
      <c r="G26" s="51"/>
    </row>
    <row r="27" spans="1:7" x14ac:dyDescent="0.3">
      <c r="B27" s="51">
        <f>$C$17-A11</f>
        <v>-4.4999999999999991</v>
      </c>
      <c r="C27" s="51">
        <f>B27*B26*B25*B24*B23*B22</f>
        <v>-14.765624999999988</v>
      </c>
      <c r="D27" s="51"/>
      <c r="E27" s="51"/>
      <c r="F27" s="51"/>
      <c r="G27" s="5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5F6CA-37AA-47FC-93FA-BA5505D9AFFE}">
  <dimension ref="A1:H26"/>
  <sheetViews>
    <sheetView topLeftCell="A4" workbookViewId="0">
      <selection activeCell="I16" sqref="I16"/>
    </sheetView>
  </sheetViews>
  <sheetFormatPr defaultRowHeight="14.4" x14ac:dyDescent="0.3"/>
  <cols>
    <col min="1" max="6" width="8.88671875" style="19"/>
    <col min="7" max="7" width="12.44140625" style="19" bestFit="1" customWidth="1"/>
    <col min="8" max="16384" width="8.88671875" style="19"/>
  </cols>
  <sheetData>
    <row r="1" spans="1:7" x14ac:dyDescent="0.3">
      <c r="A1" s="50" t="s">
        <v>67</v>
      </c>
    </row>
    <row r="2" spans="1:7" x14ac:dyDescent="0.3">
      <c r="A2" s="50"/>
    </row>
    <row r="3" spans="1:7" x14ac:dyDescent="0.3">
      <c r="A3" s="50"/>
    </row>
    <row r="5" spans="1:7" ht="28.8" x14ac:dyDescent="0.3">
      <c r="E5" s="75" t="s">
        <v>68</v>
      </c>
      <c r="F5" s="75" t="s">
        <v>69</v>
      </c>
      <c r="G5" s="75" t="s">
        <v>70</v>
      </c>
    </row>
    <row r="6" spans="1:7" x14ac:dyDescent="0.3">
      <c r="A6" s="51" t="s">
        <v>0</v>
      </c>
      <c r="B6" s="52" t="s">
        <v>18</v>
      </c>
      <c r="C6" s="52" t="s">
        <v>50</v>
      </c>
      <c r="D6" s="53" t="s">
        <v>71</v>
      </c>
      <c r="E6" s="53" t="s">
        <v>72</v>
      </c>
      <c r="F6" s="53" t="s">
        <v>73</v>
      </c>
      <c r="G6" s="53" t="s">
        <v>74</v>
      </c>
    </row>
    <row r="7" spans="1:7" x14ac:dyDescent="0.3">
      <c r="A7" s="51">
        <v>0</v>
      </c>
      <c r="B7" s="76">
        <v>1</v>
      </c>
      <c r="C7" s="77">
        <v>0.5</v>
      </c>
      <c r="D7" s="76">
        <f>(C8-C7)/(B8-B7)</f>
        <v>-0.1923333333333333</v>
      </c>
      <c r="E7" s="76">
        <f>(D8-D7)/(B9-B7)</f>
        <v>5.4962962962962943E-2</v>
      </c>
      <c r="F7" s="76">
        <f>(E8-E7)/(B10-B7)</f>
        <v>-1.3735449735449733E-2</v>
      </c>
      <c r="G7" s="76">
        <f>(F8-F7)/(B11-B7)</f>
        <v>3.2626863876864319E-3</v>
      </c>
    </row>
    <row r="8" spans="1:7" x14ac:dyDescent="0.3">
      <c r="A8" s="51">
        <v>1</v>
      </c>
      <c r="B8" s="76">
        <v>1.6</v>
      </c>
      <c r="C8" s="77">
        <v>0.3846</v>
      </c>
      <c r="D8" s="76">
        <f t="shared" ref="D8:D10" si="0">(C9-C8)/(B9-B8)</f>
        <v>-0.10988888888888888</v>
      </c>
      <c r="E8" s="76">
        <f t="shared" ref="E8:E9" si="1">(D9-D8)/(B10-B8)</f>
        <v>2.7492063492063477E-2</v>
      </c>
      <c r="F8" s="76">
        <f t="shared" ref="F8" si="2">(E9-E8)/(B11-B8)</f>
        <v>-6.5575396825395815E-3</v>
      </c>
      <c r="G8" s="78"/>
    </row>
    <row r="9" spans="1:7" x14ac:dyDescent="0.3">
      <c r="A9" s="51">
        <v>2</v>
      </c>
      <c r="B9" s="76">
        <v>2.5</v>
      </c>
      <c r="C9" s="77">
        <v>0.28570000000000001</v>
      </c>
      <c r="D9" s="76">
        <f t="shared" si="0"/>
        <v>-7.1400000000000019E-2</v>
      </c>
      <c r="E9" s="76">
        <f t="shared" si="1"/>
        <v>1.7000000000000147E-2</v>
      </c>
      <c r="F9" s="78"/>
      <c r="G9" s="78"/>
    </row>
    <row r="10" spans="1:7" x14ac:dyDescent="0.3">
      <c r="A10" s="51">
        <v>3</v>
      </c>
      <c r="B10" s="76">
        <v>3</v>
      </c>
      <c r="C10" s="77">
        <v>0.25</v>
      </c>
      <c r="D10" s="76">
        <f t="shared" si="0"/>
        <v>-5.9499999999999914E-2</v>
      </c>
      <c r="E10" s="78"/>
      <c r="F10" s="78"/>
      <c r="G10" s="78"/>
    </row>
    <row r="11" spans="1:7" x14ac:dyDescent="0.3">
      <c r="A11" s="51">
        <v>4</v>
      </c>
      <c r="B11" s="76">
        <v>3.2</v>
      </c>
      <c r="C11" s="77">
        <v>0.23810000000000001</v>
      </c>
      <c r="D11" s="78"/>
      <c r="E11" s="78"/>
      <c r="F11" s="78"/>
      <c r="G11" s="78"/>
    </row>
    <row r="14" spans="1:7" x14ac:dyDescent="0.3">
      <c r="A14" s="62" t="s">
        <v>53</v>
      </c>
      <c r="B14" s="19">
        <v>1.3</v>
      </c>
    </row>
    <row r="17" spans="1:8" x14ac:dyDescent="0.3">
      <c r="A17" s="62" t="s">
        <v>55</v>
      </c>
    </row>
    <row r="19" spans="1:8" x14ac:dyDescent="0.3">
      <c r="A19" s="52" t="s">
        <v>0</v>
      </c>
      <c r="B19" s="52" t="s">
        <v>18</v>
      </c>
      <c r="C19" s="52" t="s">
        <v>50</v>
      </c>
      <c r="D19" s="52" t="s">
        <v>75</v>
      </c>
      <c r="E19" s="52" t="s">
        <v>76</v>
      </c>
      <c r="F19" s="52" t="s">
        <v>77</v>
      </c>
      <c r="G19" s="52" t="s">
        <v>78</v>
      </c>
      <c r="H19" s="52" t="s">
        <v>79</v>
      </c>
    </row>
    <row r="20" spans="1:8" x14ac:dyDescent="0.3">
      <c r="A20" s="51">
        <f>A7</f>
        <v>0</v>
      </c>
      <c r="B20" s="76">
        <f t="shared" ref="B20:C20" si="3">B7</f>
        <v>1</v>
      </c>
      <c r="C20" s="76">
        <f t="shared" si="3"/>
        <v>0.5</v>
      </c>
      <c r="D20" s="54">
        <f>$B$14-B20</f>
        <v>0.30000000000000004</v>
      </c>
      <c r="E20" s="54">
        <f>D20</f>
        <v>0.30000000000000004</v>
      </c>
      <c r="F20" s="76">
        <f>D7</f>
        <v>-0.1923333333333333</v>
      </c>
      <c r="G20" s="51">
        <f>F20*E20</f>
        <v>-5.7700000000000001E-2</v>
      </c>
      <c r="H20" s="76">
        <f>C7+SUM(G20:G23)</f>
        <v>0.43527087554112553</v>
      </c>
    </row>
    <row r="21" spans="1:8" x14ac:dyDescent="0.3">
      <c r="A21" s="51">
        <f t="shared" ref="A21:C24" si="4">A8</f>
        <v>1</v>
      </c>
      <c r="B21" s="76">
        <f t="shared" si="4"/>
        <v>1.6</v>
      </c>
      <c r="C21" s="76">
        <f t="shared" si="4"/>
        <v>0.3846</v>
      </c>
      <c r="D21" s="54">
        <f t="shared" ref="D21:D24" si="5">$B$14-B21</f>
        <v>-0.30000000000000004</v>
      </c>
      <c r="E21" s="51">
        <f>D21*D20</f>
        <v>-9.0000000000000024E-2</v>
      </c>
      <c r="F21" s="76">
        <f>E7</f>
        <v>5.4962962962962943E-2</v>
      </c>
      <c r="G21" s="51">
        <f t="shared" ref="G21:G23" si="6">F21*E21</f>
        <v>-4.9466666666666661E-3</v>
      </c>
      <c r="H21" s="79"/>
    </row>
    <row r="22" spans="1:8" x14ac:dyDescent="0.3">
      <c r="A22" s="51">
        <f t="shared" si="4"/>
        <v>2</v>
      </c>
      <c r="B22" s="76">
        <f t="shared" si="4"/>
        <v>2.5</v>
      </c>
      <c r="C22" s="76">
        <f t="shared" si="4"/>
        <v>0.28570000000000001</v>
      </c>
      <c r="D22" s="54">
        <f t="shared" si="5"/>
        <v>-1.2</v>
      </c>
      <c r="E22" s="51">
        <f>D22*D21*D20</f>
        <v>0.10800000000000003</v>
      </c>
      <c r="F22" s="76">
        <f>F7</f>
        <v>-1.3735449735449733E-2</v>
      </c>
      <c r="G22" s="51">
        <f t="shared" si="6"/>
        <v>-1.4834285714285715E-3</v>
      </c>
      <c r="H22" s="79"/>
    </row>
    <row r="23" spans="1:8" x14ac:dyDescent="0.3">
      <c r="A23" s="51">
        <f t="shared" si="4"/>
        <v>3</v>
      </c>
      <c r="B23" s="76">
        <f t="shared" si="4"/>
        <v>3</v>
      </c>
      <c r="C23" s="76">
        <f t="shared" si="4"/>
        <v>0.25</v>
      </c>
      <c r="D23" s="54">
        <f t="shared" si="5"/>
        <v>-1.7</v>
      </c>
      <c r="E23" s="51">
        <f>D23*D22*D21*D20</f>
        <v>-0.18360000000000007</v>
      </c>
      <c r="F23" s="76">
        <f>G7</f>
        <v>3.2626863876864319E-3</v>
      </c>
      <c r="G23" s="51">
        <f t="shared" si="6"/>
        <v>-5.9902922077922915E-4</v>
      </c>
      <c r="H23" s="79"/>
    </row>
    <row r="24" spans="1:8" x14ac:dyDescent="0.3">
      <c r="A24" s="51">
        <f t="shared" si="4"/>
        <v>4</v>
      </c>
      <c r="B24" s="76">
        <f t="shared" si="4"/>
        <v>3.2</v>
      </c>
      <c r="C24" s="76">
        <f t="shared" si="4"/>
        <v>0.23810000000000001</v>
      </c>
      <c r="D24" s="54">
        <f t="shared" si="5"/>
        <v>-1.9000000000000001</v>
      </c>
      <c r="E24" s="51">
        <f>D24*D23*D22*D21*D20</f>
        <v>0.34884000000000009</v>
      </c>
      <c r="F24" s="79"/>
      <c r="G24" s="79"/>
      <c r="H24" s="79"/>
    </row>
    <row r="25" spans="1:8" x14ac:dyDescent="0.3">
      <c r="D25" s="63"/>
    </row>
    <row r="26" spans="1:8" x14ac:dyDescent="0.3">
      <c r="B26" s="63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245DD-5B75-4984-A00A-145449447E51}">
  <dimension ref="B1:S24"/>
  <sheetViews>
    <sheetView workbookViewId="0">
      <selection activeCell="I14" sqref="I14"/>
    </sheetView>
  </sheetViews>
  <sheetFormatPr defaultRowHeight="14.4" x14ac:dyDescent="0.3"/>
  <cols>
    <col min="1" max="5" width="8.88671875" style="19"/>
    <col min="6" max="7" width="12" style="19" bestFit="1" customWidth="1"/>
    <col min="8" max="8" width="12.6640625" style="19" bestFit="1" customWidth="1"/>
    <col min="9" max="9" width="12" style="19" bestFit="1" customWidth="1"/>
    <col min="10" max="10" width="12.6640625" style="19" bestFit="1" customWidth="1"/>
    <col min="11" max="16384" width="8.88671875" style="19"/>
  </cols>
  <sheetData>
    <row r="1" spans="2:19" x14ac:dyDescent="0.3">
      <c r="B1" s="50" t="s">
        <v>80</v>
      </c>
    </row>
    <row r="3" spans="2:19" x14ac:dyDescent="0.3">
      <c r="B3" s="62" t="s">
        <v>53</v>
      </c>
      <c r="C3" s="19">
        <v>1.3</v>
      </c>
    </row>
    <row r="4" spans="2:19" x14ac:dyDescent="0.3">
      <c r="O4" s="75"/>
      <c r="P4" s="75"/>
      <c r="Q4" s="75"/>
    </row>
    <row r="5" spans="2:19" x14ac:dyDescent="0.3">
      <c r="B5" s="52" t="s">
        <v>0</v>
      </c>
      <c r="C5" s="52" t="s">
        <v>18</v>
      </c>
      <c r="D5" s="52" t="s">
        <v>50</v>
      </c>
      <c r="E5" s="52" t="s">
        <v>75</v>
      </c>
      <c r="F5" s="52" t="str">
        <f>_xlfn.CONCAT("x",B6,"-xn")</f>
        <v>x0-xn</v>
      </c>
      <c r="G5" s="52" t="str">
        <f>_xlfn.CONCAT("x",B7,"-xn")</f>
        <v>x1-xn</v>
      </c>
      <c r="H5" s="52" t="str">
        <f>_xlfn.CONCAT("x",B8,"-xn")</f>
        <v>x2-xn</v>
      </c>
      <c r="I5" s="52" t="str">
        <f>_xlfn.CONCAT("x",B9,"-xn")</f>
        <v>x3-xn</v>
      </c>
      <c r="J5" s="52" t="str">
        <f>_xlfn.CONCAT("x",B10,"-xn")</f>
        <v>x4-xn</v>
      </c>
      <c r="K5" s="3"/>
      <c r="L5" s="3"/>
      <c r="M5" s="3"/>
      <c r="N5" s="3"/>
      <c r="O5" s="3"/>
      <c r="P5" s="3"/>
      <c r="Q5" s="3"/>
      <c r="R5" s="3"/>
      <c r="S5" s="62"/>
    </row>
    <row r="6" spans="2:19" x14ac:dyDescent="0.3">
      <c r="B6" s="52">
        <v>0</v>
      </c>
      <c r="C6" s="54">
        <v>1</v>
      </c>
      <c r="D6" s="54">
        <v>0.5</v>
      </c>
      <c r="E6" s="54">
        <f>$C$3-C6</f>
        <v>0.30000000000000004</v>
      </c>
      <c r="F6" s="80">
        <f>$C$6-$C6</f>
        <v>0</v>
      </c>
      <c r="G6" s="80">
        <f>$C$7-$C6</f>
        <v>0.60000000000000009</v>
      </c>
      <c r="H6" s="80">
        <f>$C$8-$C6</f>
        <v>1.5</v>
      </c>
      <c r="I6" s="80">
        <f>$C$9-$C6</f>
        <v>2</v>
      </c>
      <c r="J6" s="80">
        <f>$C$10-$C6</f>
        <v>2.2000000000000002</v>
      </c>
      <c r="K6" s="63"/>
      <c r="L6" s="63"/>
      <c r="M6" s="63"/>
      <c r="N6" s="81"/>
      <c r="O6" s="81"/>
      <c r="P6" s="81"/>
      <c r="Q6" s="81"/>
      <c r="R6" s="81"/>
    </row>
    <row r="7" spans="2:19" x14ac:dyDescent="0.3">
      <c r="B7" s="52">
        <v>1</v>
      </c>
      <c r="C7" s="54">
        <v>1.6</v>
      </c>
      <c r="D7" s="54">
        <v>0.3846</v>
      </c>
      <c r="E7" s="54">
        <f t="shared" ref="E7:E10" si="0">$C$3-C7</f>
        <v>-0.30000000000000004</v>
      </c>
      <c r="F7" s="80">
        <f>$C$6-$C7</f>
        <v>-0.60000000000000009</v>
      </c>
      <c r="G7" s="80">
        <f t="shared" ref="G7:G10" si="1">$C$7-$C7</f>
        <v>0</v>
      </c>
      <c r="H7" s="80">
        <f t="shared" ref="H7:H10" si="2">$C$8-$C7</f>
        <v>0.89999999999999991</v>
      </c>
      <c r="I7" s="80">
        <f t="shared" ref="I7:I10" si="3">$C$9-$C7</f>
        <v>1.4</v>
      </c>
      <c r="J7" s="80">
        <f t="shared" ref="J7:J10" si="4">$C$10-$C7</f>
        <v>1.6</v>
      </c>
      <c r="K7" s="63"/>
      <c r="L7" s="63"/>
      <c r="M7" s="63"/>
      <c r="N7" s="81"/>
      <c r="O7" s="81"/>
      <c r="P7" s="81"/>
      <c r="Q7" s="81"/>
      <c r="R7" s="81"/>
    </row>
    <row r="8" spans="2:19" x14ac:dyDescent="0.3">
      <c r="B8" s="52">
        <v>2</v>
      </c>
      <c r="C8" s="54">
        <v>2.5</v>
      </c>
      <c r="D8" s="54">
        <v>0.28570000000000001</v>
      </c>
      <c r="E8" s="54">
        <f t="shared" si="0"/>
        <v>-1.2</v>
      </c>
      <c r="F8" s="80">
        <f t="shared" ref="F8:F10" si="5">$C$6-$C8</f>
        <v>-1.5</v>
      </c>
      <c r="G8" s="80">
        <f t="shared" si="1"/>
        <v>-0.89999999999999991</v>
      </c>
      <c r="H8" s="80">
        <f t="shared" si="2"/>
        <v>0</v>
      </c>
      <c r="I8" s="80">
        <f t="shared" si="3"/>
        <v>0.5</v>
      </c>
      <c r="J8" s="80">
        <f t="shared" si="4"/>
        <v>0.70000000000000018</v>
      </c>
      <c r="K8" s="63"/>
      <c r="L8" s="63"/>
      <c r="M8" s="63"/>
      <c r="N8" s="81"/>
      <c r="O8" s="81"/>
      <c r="P8" s="81"/>
      <c r="Q8" s="81"/>
      <c r="R8" s="81"/>
    </row>
    <row r="9" spans="2:19" x14ac:dyDescent="0.3">
      <c r="B9" s="52">
        <v>3</v>
      </c>
      <c r="C9" s="54">
        <v>3</v>
      </c>
      <c r="D9" s="54">
        <v>0.25</v>
      </c>
      <c r="E9" s="54">
        <f t="shared" si="0"/>
        <v>-1.7</v>
      </c>
      <c r="F9" s="80">
        <f t="shared" si="5"/>
        <v>-2</v>
      </c>
      <c r="G9" s="80">
        <f t="shared" si="1"/>
        <v>-1.4</v>
      </c>
      <c r="H9" s="80">
        <f t="shared" si="2"/>
        <v>-0.5</v>
      </c>
      <c r="I9" s="80">
        <f t="shared" si="3"/>
        <v>0</v>
      </c>
      <c r="J9" s="80">
        <f t="shared" si="4"/>
        <v>0.20000000000000018</v>
      </c>
      <c r="K9" s="63"/>
      <c r="L9" s="63"/>
      <c r="M9" s="63"/>
      <c r="N9" s="81"/>
      <c r="O9" s="81"/>
      <c r="P9" s="81"/>
      <c r="Q9" s="81"/>
      <c r="R9" s="81"/>
    </row>
    <row r="10" spans="2:19" x14ac:dyDescent="0.3">
      <c r="B10" s="52">
        <v>4</v>
      </c>
      <c r="C10" s="54">
        <v>3.2</v>
      </c>
      <c r="D10" s="54">
        <v>0.23810000000000001</v>
      </c>
      <c r="E10" s="54">
        <f t="shared" si="0"/>
        <v>-1.9000000000000001</v>
      </c>
      <c r="F10" s="80">
        <f t="shared" si="5"/>
        <v>-2.2000000000000002</v>
      </c>
      <c r="G10" s="80">
        <f t="shared" si="1"/>
        <v>-1.6</v>
      </c>
      <c r="H10" s="80">
        <f t="shared" si="2"/>
        <v>-0.70000000000000018</v>
      </c>
      <c r="I10" s="80">
        <f t="shared" si="3"/>
        <v>-0.20000000000000018</v>
      </c>
      <c r="J10" s="80">
        <f t="shared" si="4"/>
        <v>0</v>
      </c>
      <c r="K10" s="63"/>
      <c r="L10" s="63"/>
      <c r="M10" s="63"/>
      <c r="N10" s="81"/>
      <c r="O10" s="81"/>
      <c r="P10" s="81"/>
      <c r="Q10" s="81"/>
      <c r="R10" s="81"/>
    </row>
    <row r="12" spans="2:19" x14ac:dyDescent="0.3">
      <c r="F12" s="3" t="s">
        <v>81</v>
      </c>
      <c r="G12" s="3" t="s">
        <v>82</v>
      </c>
      <c r="H12" s="3" t="s">
        <v>83</v>
      </c>
      <c r="I12" s="3" t="s">
        <v>84</v>
      </c>
      <c r="J12" s="3" t="s">
        <v>85</v>
      </c>
      <c r="K12" s="3" t="s">
        <v>86</v>
      </c>
    </row>
    <row r="13" spans="2:19" x14ac:dyDescent="0.3">
      <c r="F13" s="19">
        <f>($E7*$E8*$E9*$E10)/(F7*F8*F9*F10)</f>
        <v>0.29363636363636364</v>
      </c>
      <c r="G13" s="19">
        <f>($E6*$E8*$E9*$E10)/(G6*G8*G9*G10)</f>
        <v>0.96130952380952406</v>
      </c>
      <c r="H13" s="19">
        <f>($E7*$E6*$E9*$E10)/(H7*H6*H9*H10)</f>
        <v>-0.61523809523809525</v>
      </c>
      <c r="I13" s="19">
        <f>($E7*$E8*$E6*$E10)/(I7*I8*I6*I10)</f>
        <v>0.73285714285714243</v>
      </c>
      <c r="J13" s="19">
        <f>($E7*$E8*$E9*$E6)/(J7*J8*J9*J6)</f>
        <v>-0.37256493506493471</v>
      </c>
      <c r="K13" s="19">
        <f>SUM(F13:J13)</f>
        <v>1.0000000000000002</v>
      </c>
    </row>
    <row r="15" spans="2:19" x14ac:dyDescent="0.3">
      <c r="B15" s="50" t="s">
        <v>87</v>
      </c>
      <c r="C15" s="3">
        <f>(D6*F13)+(D7*G13)+(D8*H13)+(D9*I13)+(D10*J13)</f>
        <v>0.43527087554112559</v>
      </c>
    </row>
    <row r="18" spans="3:14" x14ac:dyDescent="0.3">
      <c r="N18" s="63"/>
    </row>
    <row r="19" spans="3:14" x14ac:dyDescent="0.3">
      <c r="N19" s="63"/>
    </row>
    <row r="20" spans="3:14" x14ac:dyDescent="0.3">
      <c r="N20" s="63"/>
    </row>
    <row r="21" spans="3:14" x14ac:dyDescent="0.3">
      <c r="N21" s="63"/>
    </row>
    <row r="22" spans="3:14" x14ac:dyDescent="0.3">
      <c r="N22" s="63"/>
    </row>
    <row r="23" spans="3:14" x14ac:dyDescent="0.3">
      <c r="N23" s="63"/>
    </row>
    <row r="24" spans="3:14" x14ac:dyDescent="0.3">
      <c r="C24" s="63"/>
    </row>
  </sheetData>
  <conditionalFormatting sqref="F6:J10">
    <cfRule type="cellIs" dxfId="3" priority="1" operator="equal">
      <formula>0</formula>
    </cfRule>
    <cfRule type="cellIs" dxfId="2" priority="2" operator="equal">
      <formula>0</formula>
    </cfRule>
    <cfRule type="cellIs" dxfId="1" priority="3" operator="equal">
      <formula>0</formula>
    </cfRule>
    <cfRule type="cellIs" dxfId="0" priority="4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030B2-1B5D-4F0A-B619-CA2D68406F4B}">
  <dimension ref="B1:K25"/>
  <sheetViews>
    <sheetView workbookViewId="0">
      <selection activeCell="L15" sqref="L15"/>
    </sheetView>
  </sheetViews>
  <sheetFormatPr defaultRowHeight="14.4" x14ac:dyDescent="0.3"/>
  <cols>
    <col min="1" max="2" width="8.88671875" style="19"/>
    <col min="3" max="4" width="9" style="19" bestFit="1" customWidth="1"/>
    <col min="5" max="6" width="9.5546875" style="19" bestFit="1" customWidth="1"/>
    <col min="7" max="16384" width="8.88671875" style="19"/>
  </cols>
  <sheetData>
    <row r="1" spans="2:11" x14ac:dyDescent="0.3">
      <c r="B1" s="50" t="s">
        <v>88</v>
      </c>
    </row>
    <row r="3" spans="2:11" x14ac:dyDescent="0.3">
      <c r="B3" s="62" t="s">
        <v>89</v>
      </c>
      <c r="F3" s="50" t="s">
        <v>90</v>
      </c>
      <c r="G3" s="63"/>
      <c r="H3" s="63"/>
      <c r="I3" s="63"/>
      <c r="J3" s="81"/>
      <c r="K3" s="81"/>
    </row>
    <row r="4" spans="2:11" x14ac:dyDescent="0.3">
      <c r="C4" s="3"/>
      <c r="D4" s="3"/>
      <c r="E4" s="3"/>
    </row>
    <row r="5" spans="2:11" x14ac:dyDescent="0.3">
      <c r="B5" s="52" t="s">
        <v>29</v>
      </c>
      <c r="C5" s="52" t="s">
        <v>91</v>
      </c>
      <c r="D5" s="52" t="s">
        <v>92</v>
      </c>
      <c r="E5" s="82"/>
      <c r="F5" s="51" t="s">
        <v>93</v>
      </c>
      <c r="G5" s="51" t="s">
        <v>94</v>
      </c>
      <c r="H5" s="51" t="s">
        <v>95</v>
      </c>
      <c r="I5" s="51" t="s">
        <v>92</v>
      </c>
      <c r="J5" s="51" t="s">
        <v>96</v>
      </c>
      <c r="K5" s="51" t="s">
        <v>97</v>
      </c>
    </row>
    <row r="6" spans="2:11" x14ac:dyDescent="0.3">
      <c r="B6" s="83">
        <v>0</v>
      </c>
      <c r="C6" s="84">
        <v>1</v>
      </c>
      <c r="D6" s="84">
        <v>5</v>
      </c>
      <c r="E6" s="85"/>
      <c r="F6" s="84">
        <f>C6^0</f>
        <v>1</v>
      </c>
      <c r="G6" s="84">
        <f>C6^1</f>
        <v>1</v>
      </c>
      <c r="H6" s="84">
        <f>C6^2</f>
        <v>1</v>
      </c>
      <c r="I6" s="84">
        <f>D6</f>
        <v>5</v>
      </c>
      <c r="J6" s="51">
        <f>F6*I6</f>
        <v>5</v>
      </c>
      <c r="K6" s="51">
        <f>G6*I6</f>
        <v>5</v>
      </c>
    </row>
    <row r="7" spans="2:11" x14ac:dyDescent="0.3">
      <c r="B7" s="83">
        <v>1</v>
      </c>
      <c r="C7" s="84">
        <v>3</v>
      </c>
      <c r="D7" s="84">
        <v>9</v>
      </c>
      <c r="E7" s="85"/>
      <c r="F7" s="84">
        <f t="shared" ref="F7:F10" si="0">C7^0</f>
        <v>1</v>
      </c>
      <c r="G7" s="84">
        <f t="shared" ref="G7:G10" si="1">C7^1</f>
        <v>3</v>
      </c>
      <c r="H7" s="84">
        <f t="shared" ref="H7:H10" si="2">C7^2</f>
        <v>9</v>
      </c>
      <c r="I7" s="84">
        <f t="shared" ref="I7:I10" si="3">D7</f>
        <v>9</v>
      </c>
      <c r="J7" s="51">
        <f t="shared" ref="J7:J10" si="4">F7*I7</f>
        <v>9</v>
      </c>
      <c r="K7" s="51">
        <f t="shared" ref="K7:K10" si="5">G7*I7</f>
        <v>27</v>
      </c>
    </row>
    <row r="8" spans="2:11" x14ac:dyDescent="0.3">
      <c r="B8" s="83">
        <v>2</v>
      </c>
      <c r="C8" s="84">
        <v>4</v>
      </c>
      <c r="D8" s="84">
        <v>11</v>
      </c>
      <c r="E8" s="63"/>
      <c r="F8" s="84">
        <f t="shared" si="0"/>
        <v>1</v>
      </c>
      <c r="G8" s="84">
        <f t="shared" si="1"/>
        <v>4</v>
      </c>
      <c r="H8" s="84">
        <f t="shared" si="2"/>
        <v>16</v>
      </c>
      <c r="I8" s="84">
        <f t="shared" si="3"/>
        <v>11</v>
      </c>
      <c r="J8" s="51">
        <f t="shared" si="4"/>
        <v>11</v>
      </c>
      <c r="K8" s="51">
        <f t="shared" si="5"/>
        <v>44</v>
      </c>
    </row>
    <row r="9" spans="2:11" x14ac:dyDescent="0.3">
      <c r="B9" s="83">
        <v>3</v>
      </c>
      <c r="C9" s="84">
        <v>5</v>
      </c>
      <c r="D9" s="84">
        <v>13</v>
      </c>
      <c r="F9" s="84">
        <f t="shared" si="0"/>
        <v>1</v>
      </c>
      <c r="G9" s="84">
        <f t="shared" si="1"/>
        <v>5</v>
      </c>
      <c r="H9" s="84">
        <f t="shared" si="2"/>
        <v>25</v>
      </c>
      <c r="I9" s="84">
        <f t="shared" si="3"/>
        <v>13</v>
      </c>
      <c r="J9" s="51">
        <f t="shared" si="4"/>
        <v>13</v>
      </c>
      <c r="K9" s="51">
        <f t="shared" si="5"/>
        <v>65</v>
      </c>
    </row>
    <row r="10" spans="2:11" x14ac:dyDescent="0.3">
      <c r="B10" s="83">
        <v>4</v>
      </c>
      <c r="C10" s="84">
        <v>8</v>
      </c>
      <c r="D10" s="84">
        <v>19</v>
      </c>
      <c r="F10" s="84">
        <f t="shared" si="0"/>
        <v>1</v>
      </c>
      <c r="G10" s="84">
        <f t="shared" si="1"/>
        <v>8</v>
      </c>
      <c r="H10" s="84">
        <f t="shared" si="2"/>
        <v>64</v>
      </c>
      <c r="I10" s="84">
        <f t="shared" si="3"/>
        <v>19</v>
      </c>
      <c r="J10" s="51">
        <f t="shared" si="4"/>
        <v>19</v>
      </c>
      <c r="K10" s="51">
        <f t="shared" si="5"/>
        <v>152</v>
      </c>
    </row>
    <row r="11" spans="2:11" x14ac:dyDescent="0.3">
      <c r="F11" s="83">
        <f>SUM(F6:F10)</f>
        <v>5</v>
      </c>
      <c r="G11" s="83">
        <f>SUM(G6:G10)</f>
        <v>21</v>
      </c>
      <c r="H11" s="83">
        <f>SUM(H6:H10)</f>
        <v>115</v>
      </c>
      <c r="I11" s="83" t="s">
        <v>39</v>
      </c>
      <c r="J11" s="83">
        <f t="shared" ref="J11:K11" si="6">SUM(J6:J10)</f>
        <v>57</v>
      </c>
      <c r="K11" s="83">
        <f t="shared" si="6"/>
        <v>293</v>
      </c>
    </row>
    <row r="12" spans="2:11" ht="14.4" customHeight="1" x14ac:dyDescent="0.3">
      <c r="F12" s="19" t="s">
        <v>98</v>
      </c>
      <c r="G12" s="19" t="s">
        <v>99</v>
      </c>
      <c r="H12" s="19" t="s">
        <v>100</v>
      </c>
      <c r="J12" s="19" t="s">
        <v>101</v>
      </c>
      <c r="K12" s="19" t="s">
        <v>102</v>
      </c>
    </row>
    <row r="14" spans="2:11" x14ac:dyDescent="0.3">
      <c r="B14" s="85"/>
      <c r="C14" s="85"/>
      <c r="E14" s="85"/>
    </row>
    <row r="15" spans="2:11" x14ac:dyDescent="0.3">
      <c r="B15" s="3" t="s">
        <v>103</v>
      </c>
      <c r="C15" s="86">
        <f>F11</f>
        <v>5</v>
      </c>
      <c r="D15" s="87">
        <f>G11</f>
        <v>21</v>
      </c>
      <c r="E15" s="85"/>
      <c r="F15" s="3" t="s">
        <v>104</v>
      </c>
      <c r="G15" s="88" t="s">
        <v>105</v>
      </c>
      <c r="I15" s="3" t="s">
        <v>106</v>
      </c>
      <c r="J15" s="89">
        <f>J11</f>
        <v>57</v>
      </c>
    </row>
    <row r="16" spans="2:11" x14ac:dyDescent="0.3">
      <c r="C16" s="86">
        <f>G11</f>
        <v>21</v>
      </c>
      <c r="D16" s="87">
        <f>H11</f>
        <v>115</v>
      </c>
      <c r="G16" s="88" t="s">
        <v>107</v>
      </c>
      <c r="J16" s="89">
        <f>K11</f>
        <v>293</v>
      </c>
    </row>
    <row r="17" spans="2:4" x14ac:dyDescent="0.3">
      <c r="B17" s="62"/>
    </row>
    <row r="18" spans="2:4" x14ac:dyDescent="0.3">
      <c r="B18" s="62" t="s">
        <v>108</v>
      </c>
      <c r="D18" s="62"/>
    </row>
    <row r="19" spans="2:4" x14ac:dyDescent="0.3">
      <c r="D19" s="62"/>
    </row>
    <row r="20" spans="2:4" x14ac:dyDescent="0.3">
      <c r="B20" s="62"/>
      <c r="D20" s="62"/>
    </row>
    <row r="21" spans="2:4" x14ac:dyDescent="0.3">
      <c r="B21" s="3" t="s">
        <v>104</v>
      </c>
      <c r="C21" s="88">
        <f t="array" ref="C21:C22">MMULT(MINVERSE(C15:D16),J15:J16)</f>
        <v>3.0000000000000071</v>
      </c>
      <c r="D21" s="62"/>
    </row>
    <row r="22" spans="2:4" x14ac:dyDescent="0.3">
      <c r="C22" s="88">
        <v>1.9999999999999982</v>
      </c>
      <c r="D22" s="62"/>
    </row>
    <row r="23" spans="2:4" x14ac:dyDescent="0.3">
      <c r="D23" s="62"/>
    </row>
    <row r="24" spans="2:4" x14ac:dyDescent="0.3">
      <c r="D24" s="62"/>
    </row>
    <row r="25" spans="2:4" x14ac:dyDescent="0.3">
      <c r="D25" s="62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83E9D-7E5E-430F-8791-68F36CF77150}">
  <dimension ref="B2:H15"/>
  <sheetViews>
    <sheetView workbookViewId="0">
      <selection activeCell="H11" sqref="H11"/>
    </sheetView>
  </sheetViews>
  <sheetFormatPr defaultRowHeight="14.4" x14ac:dyDescent="0.3"/>
  <cols>
    <col min="2" max="3" width="10.5546875" customWidth="1"/>
    <col min="5" max="5" width="8.44140625" customWidth="1"/>
  </cols>
  <sheetData>
    <row r="2" spans="2:8" x14ac:dyDescent="0.3">
      <c r="B2" t="s">
        <v>109</v>
      </c>
    </row>
    <row r="3" spans="2:8" x14ac:dyDescent="0.3">
      <c r="B3" t="s">
        <v>1</v>
      </c>
      <c r="D3" s="94">
        <v>0</v>
      </c>
    </row>
    <row r="4" spans="2:8" x14ac:dyDescent="0.3">
      <c r="B4" t="s">
        <v>2</v>
      </c>
      <c r="D4">
        <v>1.2</v>
      </c>
    </row>
    <row r="5" spans="2:8" x14ac:dyDescent="0.3">
      <c r="B5" t="s">
        <v>110</v>
      </c>
      <c r="D5" s="94">
        <f>C8-C7</f>
        <v>0.2</v>
      </c>
      <c r="H5" t="s">
        <v>115</v>
      </c>
    </row>
    <row r="6" spans="2:8" x14ac:dyDescent="0.3">
      <c r="B6" s="52" t="s">
        <v>111</v>
      </c>
      <c r="C6" s="52" t="s">
        <v>18</v>
      </c>
      <c r="D6" s="52" t="s">
        <v>112</v>
      </c>
      <c r="E6" s="101" t="s">
        <v>116</v>
      </c>
      <c r="F6" s="101"/>
      <c r="H6">
        <f>($D$5/2)*(E15+2*F15)</f>
        <v>1.6099999999999999</v>
      </c>
    </row>
    <row r="7" spans="2:8" x14ac:dyDescent="0.3">
      <c r="B7" s="51">
        <v>0</v>
      </c>
      <c r="C7" s="90">
        <v>0</v>
      </c>
      <c r="D7" s="90">
        <v>1</v>
      </c>
      <c r="E7" s="90">
        <f>D7</f>
        <v>1</v>
      </c>
      <c r="F7" s="51"/>
    </row>
    <row r="8" spans="2:8" x14ac:dyDescent="0.3">
      <c r="B8" s="51">
        <v>1</v>
      </c>
      <c r="C8" s="90">
        <v>0.2</v>
      </c>
      <c r="D8" s="90">
        <f>D7+$D$5</f>
        <v>1.2</v>
      </c>
      <c r="E8" s="91"/>
      <c r="F8" s="90">
        <f>D8</f>
        <v>1.2</v>
      </c>
    </row>
    <row r="9" spans="2:8" x14ac:dyDescent="0.3">
      <c r="B9" s="51">
        <v>2</v>
      </c>
      <c r="C9" s="90">
        <v>0.4</v>
      </c>
      <c r="D9" s="90">
        <f>D8+$D$5</f>
        <v>1.4</v>
      </c>
      <c r="E9" s="91"/>
      <c r="F9" s="90">
        <f>D9</f>
        <v>1.4</v>
      </c>
    </row>
    <row r="10" spans="2:8" x14ac:dyDescent="0.3">
      <c r="B10" s="51">
        <v>3</v>
      </c>
      <c r="C10" s="90">
        <v>0.6</v>
      </c>
      <c r="D10" s="90">
        <f>D9+$D$5</f>
        <v>1.5999999999999999</v>
      </c>
      <c r="E10" s="91"/>
      <c r="F10" s="90">
        <f>D10</f>
        <v>1.5999999999999999</v>
      </c>
    </row>
    <row r="11" spans="2:8" x14ac:dyDescent="0.3">
      <c r="B11" s="51">
        <v>4</v>
      </c>
      <c r="C11" s="90">
        <v>0.8</v>
      </c>
      <c r="D11" s="90">
        <v>1</v>
      </c>
      <c r="E11" s="91"/>
      <c r="F11" s="90">
        <f>D11</f>
        <v>1</v>
      </c>
    </row>
    <row r="12" spans="2:8" x14ac:dyDescent="0.3">
      <c r="B12" s="51">
        <v>5</v>
      </c>
      <c r="C12" s="90">
        <v>1</v>
      </c>
      <c r="D12" s="90">
        <v>1.7</v>
      </c>
      <c r="E12" s="91"/>
      <c r="F12" s="90">
        <f>D12</f>
        <v>1.7</v>
      </c>
    </row>
    <row r="13" spans="2:8" x14ac:dyDescent="0.3">
      <c r="B13" s="51">
        <v>6</v>
      </c>
      <c r="C13" s="90">
        <v>1.2</v>
      </c>
      <c r="D13" s="90">
        <v>1.3</v>
      </c>
      <c r="E13" s="90">
        <f>D13</f>
        <v>1.3</v>
      </c>
      <c r="F13" s="51"/>
    </row>
    <row r="14" spans="2:8" x14ac:dyDescent="0.3">
      <c r="B14" s="92"/>
      <c r="C14" s="93"/>
      <c r="D14" s="93"/>
      <c r="E14" s="95" t="s">
        <v>98</v>
      </c>
      <c r="F14" s="96" t="s">
        <v>99</v>
      </c>
    </row>
    <row r="15" spans="2:8" x14ac:dyDescent="0.3">
      <c r="B15" s="51"/>
      <c r="C15" s="51"/>
      <c r="D15" s="51" t="s">
        <v>113</v>
      </c>
      <c r="E15" s="51">
        <f>SUM(E7:E13)</f>
        <v>2.2999999999999998</v>
      </c>
      <c r="F15" s="51">
        <f>SUM(F8:F13)</f>
        <v>6.8999999999999995</v>
      </c>
    </row>
  </sheetData>
  <mergeCells count="1">
    <mergeCell ref="E6:F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0E10-453A-4B0E-B4B5-933B295458F0}">
  <dimension ref="B2:H15"/>
  <sheetViews>
    <sheetView workbookViewId="0">
      <selection activeCell="H16" sqref="H16"/>
    </sheetView>
  </sheetViews>
  <sheetFormatPr defaultRowHeight="14.4" x14ac:dyDescent="0.3"/>
  <cols>
    <col min="8" max="8" width="9.5546875" bestFit="1" customWidth="1"/>
  </cols>
  <sheetData>
    <row r="2" spans="2:8" x14ac:dyDescent="0.3">
      <c r="B2" t="s">
        <v>110</v>
      </c>
      <c r="C2">
        <v>0.2</v>
      </c>
    </row>
    <row r="3" spans="2:8" x14ac:dyDescent="0.3">
      <c r="B3" s="17" t="s">
        <v>114</v>
      </c>
    </row>
    <row r="4" spans="2:8" x14ac:dyDescent="0.3">
      <c r="B4" s="17"/>
      <c r="H4" t="s">
        <v>117</v>
      </c>
    </row>
    <row r="5" spans="2:8" x14ac:dyDescent="0.3">
      <c r="B5" s="52" t="s">
        <v>111</v>
      </c>
      <c r="C5" s="52" t="s">
        <v>112</v>
      </c>
      <c r="D5" s="101" t="s">
        <v>116</v>
      </c>
      <c r="E5" s="101"/>
      <c r="F5" s="101"/>
      <c r="H5">
        <f>(C2/3)*(D14+(4*E14)+(2*F14))</f>
        <v>1.6733333333333333</v>
      </c>
    </row>
    <row r="6" spans="2:8" x14ac:dyDescent="0.3">
      <c r="B6" s="51">
        <v>0</v>
      </c>
      <c r="C6" s="90">
        <v>1</v>
      </c>
      <c r="D6" s="90">
        <f>C6</f>
        <v>1</v>
      </c>
      <c r="E6" s="51"/>
      <c r="F6" s="98"/>
    </row>
    <row r="7" spans="2:8" x14ac:dyDescent="0.3">
      <c r="B7" s="51">
        <v>1</v>
      </c>
      <c r="C7" s="90">
        <v>1.2</v>
      </c>
      <c r="D7" s="98"/>
      <c r="E7" s="90">
        <f>C7</f>
        <v>1.2</v>
      </c>
      <c r="F7" s="98"/>
    </row>
    <row r="8" spans="2:8" x14ac:dyDescent="0.3">
      <c r="B8" s="51">
        <v>2</v>
      </c>
      <c r="C8" s="90">
        <v>1.4</v>
      </c>
      <c r="D8" s="98"/>
      <c r="E8" s="98"/>
      <c r="F8" s="90">
        <f>C8</f>
        <v>1.4</v>
      </c>
    </row>
    <row r="9" spans="2:8" x14ac:dyDescent="0.3">
      <c r="B9" s="51">
        <v>3</v>
      </c>
      <c r="C9" s="90">
        <v>1.5999999999999999</v>
      </c>
      <c r="D9" s="98"/>
      <c r="E9" s="90">
        <f>C9</f>
        <v>1.5999999999999999</v>
      </c>
      <c r="F9" s="98"/>
    </row>
    <row r="10" spans="2:8" x14ac:dyDescent="0.3">
      <c r="B10" s="51">
        <v>4</v>
      </c>
      <c r="C10" s="90">
        <v>1</v>
      </c>
      <c r="D10" s="98"/>
      <c r="E10" s="98"/>
      <c r="F10" s="90">
        <f>C10</f>
        <v>1</v>
      </c>
    </row>
    <row r="11" spans="2:8" x14ac:dyDescent="0.3">
      <c r="B11" s="51">
        <v>5</v>
      </c>
      <c r="C11" s="90">
        <v>1.7</v>
      </c>
      <c r="D11" s="98"/>
      <c r="E11" s="90">
        <f>C11</f>
        <v>1.7</v>
      </c>
      <c r="F11" s="98"/>
    </row>
    <row r="12" spans="2:8" x14ac:dyDescent="0.3">
      <c r="B12" s="51">
        <v>6</v>
      </c>
      <c r="C12" s="90">
        <v>1.3</v>
      </c>
      <c r="D12" s="90">
        <f t="shared" ref="D12" si="0">C12</f>
        <v>1.3</v>
      </c>
      <c r="E12" s="51"/>
      <c r="F12" s="98"/>
    </row>
    <row r="13" spans="2:8" x14ac:dyDescent="0.3">
      <c r="B13" s="92"/>
      <c r="C13" s="93"/>
      <c r="D13" s="96" t="s">
        <v>98</v>
      </c>
      <c r="E13" s="96" t="s">
        <v>99</v>
      </c>
      <c r="F13" s="97" t="s">
        <v>100</v>
      </c>
    </row>
    <row r="14" spans="2:8" x14ac:dyDescent="0.3">
      <c r="B14" s="51"/>
      <c r="C14" s="51" t="s">
        <v>113</v>
      </c>
      <c r="D14" s="51">
        <f>SUM(D6:D12)</f>
        <v>2.2999999999999998</v>
      </c>
      <c r="E14" s="51">
        <f>SUM(E6:E12)</f>
        <v>4.5</v>
      </c>
      <c r="F14" s="98">
        <f>SUM(F6:F12)</f>
        <v>2.4</v>
      </c>
    </row>
    <row r="15" spans="2:8" x14ac:dyDescent="0.3">
      <c r="B15" s="19"/>
      <c r="C15" s="19"/>
      <c r="D15" s="19"/>
      <c r="E15" s="19"/>
    </row>
  </sheetData>
  <mergeCells count="1">
    <mergeCell ref="D5:F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AA881-84C4-41ED-83AB-159871005654}">
  <dimension ref="B2:H15"/>
  <sheetViews>
    <sheetView workbookViewId="0">
      <selection activeCell="J19" sqref="J19"/>
    </sheetView>
  </sheetViews>
  <sheetFormatPr defaultRowHeight="14.4" x14ac:dyDescent="0.3"/>
  <sheetData>
    <row r="2" spans="2:8" x14ac:dyDescent="0.3">
      <c r="B2" t="s">
        <v>110</v>
      </c>
      <c r="C2">
        <v>0.2</v>
      </c>
    </row>
    <row r="3" spans="2:8" x14ac:dyDescent="0.3">
      <c r="B3" s="17" t="s">
        <v>118</v>
      </c>
    </row>
    <row r="4" spans="2:8" x14ac:dyDescent="0.3">
      <c r="B4" s="17"/>
    </row>
    <row r="5" spans="2:8" x14ac:dyDescent="0.3">
      <c r="B5" s="52" t="s">
        <v>111</v>
      </c>
      <c r="C5" s="52" t="s">
        <v>112</v>
      </c>
      <c r="D5" s="101" t="s">
        <v>116</v>
      </c>
      <c r="E5" s="101"/>
      <c r="F5" s="101"/>
      <c r="H5" t="s">
        <v>119</v>
      </c>
    </row>
    <row r="6" spans="2:8" x14ac:dyDescent="0.3">
      <c r="B6" s="51">
        <v>0</v>
      </c>
      <c r="C6" s="90">
        <v>1</v>
      </c>
      <c r="D6" s="90">
        <f>C6</f>
        <v>1</v>
      </c>
      <c r="E6" s="51"/>
      <c r="F6" s="98"/>
      <c r="H6">
        <f>((3*C2)/8)*(D14+(3*E14)+(2*F14))</f>
        <v>1.6050000000000002</v>
      </c>
    </row>
    <row r="7" spans="2:8" x14ac:dyDescent="0.3">
      <c r="B7" s="51">
        <v>1</v>
      </c>
      <c r="C7" s="90">
        <v>1.2</v>
      </c>
      <c r="D7" s="98"/>
      <c r="E7" s="90">
        <f>C7</f>
        <v>1.2</v>
      </c>
      <c r="F7" s="98"/>
    </row>
    <row r="8" spans="2:8" x14ac:dyDescent="0.3">
      <c r="B8" s="51">
        <v>2</v>
      </c>
      <c r="C8" s="90">
        <v>1.4</v>
      </c>
      <c r="D8" s="98"/>
      <c r="E8" s="90">
        <f>C8</f>
        <v>1.4</v>
      </c>
      <c r="F8" s="98"/>
    </row>
    <row r="9" spans="2:8" x14ac:dyDescent="0.3">
      <c r="B9" s="51">
        <v>3</v>
      </c>
      <c r="C9" s="90">
        <v>1.5999999999999999</v>
      </c>
      <c r="D9" s="98"/>
      <c r="E9" s="98"/>
      <c r="F9" s="90">
        <f>C9</f>
        <v>1.5999999999999999</v>
      </c>
    </row>
    <row r="10" spans="2:8" x14ac:dyDescent="0.3">
      <c r="B10" s="51">
        <v>4</v>
      </c>
      <c r="C10" s="90">
        <v>1</v>
      </c>
      <c r="D10" s="98"/>
      <c r="E10" s="90">
        <f>C10</f>
        <v>1</v>
      </c>
      <c r="F10" s="98"/>
    </row>
    <row r="11" spans="2:8" x14ac:dyDescent="0.3">
      <c r="B11" s="51">
        <v>5</v>
      </c>
      <c r="C11" s="90">
        <v>1.7</v>
      </c>
      <c r="D11" s="98"/>
      <c r="E11" s="90">
        <f>C11</f>
        <v>1.7</v>
      </c>
      <c r="F11" s="98"/>
    </row>
    <row r="12" spans="2:8" x14ac:dyDescent="0.3">
      <c r="B12" s="51">
        <v>6</v>
      </c>
      <c r="C12" s="90">
        <v>1.3</v>
      </c>
      <c r="D12" s="90">
        <f t="shared" ref="D12" si="0">C12</f>
        <v>1.3</v>
      </c>
      <c r="E12" s="51"/>
      <c r="F12" s="51"/>
    </row>
    <row r="13" spans="2:8" x14ac:dyDescent="0.3">
      <c r="B13" s="92"/>
      <c r="C13" s="93"/>
      <c r="D13" s="96" t="s">
        <v>98</v>
      </c>
      <c r="E13" s="96" t="s">
        <v>99</v>
      </c>
      <c r="F13" s="97" t="s">
        <v>100</v>
      </c>
    </row>
    <row r="14" spans="2:8" x14ac:dyDescent="0.3">
      <c r="B14" s="51"/>
      <c r="C14" s="51" t="s">
        <v>113</v>
      </c>
      <c r="D14" s="51">
        <f>SUM(D6:D12)</f>
        <v>2.2999999999999998</v>
      </c>
      <c r="E14" s="51">
        <f>SUM(E6:E12)</f>
        <v>5.3</v>
      </c>
      <c r="F14" s="98">
        <f>SUM(F6:F12)</f>
        <v>1.5999999999999999</v>
      </c>
    </row>
    <row r="15" spans="2:8" x14ac:dyDescent="0.3">
      <c r="B15" s="19"/>
      <c r="C15" s="19"/>
      <c r="D15" s="19"/>
      <c r="E15" s="19"/>
    </row>
  </sheetData>
  <mergeCells count="1">
    <mergeCell ref="D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CH 6 - Bi Section Method</vt:lpstr>
      <vt:lpstr>CH 6 - False Position Method</vt:lpstr>
      <vt:lpstr>CH 6 - Secant Method</vt:lpstr>
      <vt:lpstr>CH 6 - Newton Method</vt:lpstr>
      <vt:lpstr>CH 7 - Power Method</vt:lpstr>
      <vt:lpstr>CH 7 - Shifted Power Method</vt:lpstr>
      <vt:lpstr>CH 8 - Newton Backward</vt:lpstr>
      <vt:lpstr>CH 8 - Newton Forward</vt:lpstr>
      <vt:lpstr>CH 8 - Newton Divided</vt:lpstr>
      <vt:lpstr>CH 8 - Lagrange</vt:lpstr>
      <vt:lpstr>CH 8 - Least Square</vt:lpstr>
      <vt:lpstr>CH 9 - Integration - Trapezoid</vt:lpstr>
      <vt:lpstr>CH9 Integration - Simpson 1per3</vt:lpstr>
      <vt:lpstr>CH9 Integration - Simpson 3per8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Faizah Safie</dc:creator>
  <cp:lastModifiedBy>Khairi Md Juri</cp:lastModifiedBy>
  <dcterms:created xsi:type="dcterms:W3CDTF">2022-07-14T14:05:33Z</dcterms:created>
  <dcterms:modified xsi:type="dcterms:W3CDTF">2022-07-16T00:51:28Z</dcterms:modified>
</cp:coreProperties>
</file>